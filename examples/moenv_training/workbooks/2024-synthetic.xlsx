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df737c2a2340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4242586a0834ab9"/>
    <x:sheet xmlns:r="http://schemas.openxmlformats.org/officeDocument/2006/relationships" name="01 Entity" sheetId="2" r:id="Rc4211d99794b47f0"/>
    <x:sheet xmlns:r="http://schemas.openxmlformats.org/officeDocument/2006/relationships" name="02 Boundary" sheetId="3" r:id="Radc58ad659a541ed"/>
    <x:sheet xmlns:r="http://schemas.openxmlformats.org/officeDocument/2006/relationships" name="03 Sources" sheetId="4" r:id="Rbec4a5fced62422d"/>
    <x:sheet xmlns:r="http://schemas.openxmlformats.org/officeDocument/2006/relationships" name="04 Activity" sheetId="5" r:id="R464b41224f494aa8"/>
    <x:sheet xmlns:r="http://schemas.openxmlformats.org/officeDocument/2006/relationships" name="05 Calculation" sheetId="6" r:id="Rc6ba838fd7f54aa3"/>
    <x:sheet xmlns:r="http://schemas.openxmlformats.org/officeDocument/2006/relationships" name="06 Quality" sheetId="7" r:id="Rfec70c2bb63d4bca"/>
    <x:sheet xmlns:r="http://schemas.openxmlformats.org/officeDocument/2006/relationships" name="07 Uncertainty" sheetId="8" r:id="Rb35189c056a548f8"/>
    <x:sheet xmlns:r="http://schemas.openxmlformats.org/officeDocument/2006/relationships" name="08 Filing summary" sheetId="9" r:id="R75516a725600415c"/>
    <x:sheet xmlns:r="http://schemas.openxmlformats.org/officeDocument/2006/relationships" name="09 Energy" sheetId="10" r:id="Rbaea7929fa2a4ff3"/>
    <x:sheet xmlns:r="http://schemas.openxmlformats.org/officeDocument/2006/relationships" name="10 Production" sheetId="11" r:id="Rf8e53fae130b4080"/>
    <x:sheet xmlns:r="http://schemas.openxmlformats.org/officeDocument/2006/relationships" name="11 Tests" sheetId="12" r:id="R0be5add5cbb34691"/>
    <x:sheet xmlns:r="http://schemas.openxmlformats.org/officeDocument/2006/relationships" name="12 Evidence" sheetId="13" r:id="R94eddbe76dd547d0"/>
    <x:sheet xmlns:r="http://schemas.openxmlformats.org/officeDocument/2006/relationships" name="13 Changes" sheetId="14" r:id="Rb78051abb34a46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11">
    <x:font>
      <x:sz val="11"/>
      <x:name val="Carlito"/>
    </x:font>
    <x:font>
      <x:sz val="11"/>
      <x:name val="Arial"/>
    </x:font>
    <x:font>
      <x:b/>
      <x:sz val="16"/>
      <x:color rgb="FFFFFFFF"/>
      <x:name val="Arial"/>
    </x:font>
    <x:font>
      <x:sz val="11"/>
      <x:color rgb="FF674A0E"/>
      <x:name val="Arial"/>
    </x:font>
    <x:font>
      <x:b/>
      <x:sz val="11"/>
      <x:color rgb="FF113E4B"/>
      <x:name val="Arial"/>
    </x:font>
    <x:font>
      <x:sz val="11"/>
      <x:color rgb="FF146BB3"/>
      <x:name val="Arial"/>
    </x:font>
    <x:font>
      <x:b/>
      <x:sz val="11"/>
      <x:color rgb="FF113E4B"/>
      <x:name val="Carlito"/>
    </x:font>
    <x:font>
      <x:sz val="11"/>
      <x:color rgb="FF674A0E"/>
      <x:name val="Carlito"/>
    </x:font>
    <x:font>
      <x:b/>
      <x:sz val="18"/>
      <x:color rgb="FFFFFFFF"/>
      <x:name val="Arial"/>
    </x:font>
    <x:font>
      <x:sz val="12"/>
      <x:color rgb="FF674A0E"/>
      <x:name val="Carlito"/>
    </x:font>
    <x:font>
      <x:sz val="1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13E4B"/>
      </x:patternFill>
    </x:fill>
    <x:fill>
      <x:patternFill patternType="solid">
        <x:fgColor rgb="FFFFF3D6"/>
      </x:patternFill>
    </x:fill>
    <x:fill>
      <x:patternFill patternType="solid">
        <x:fgColor rgb="FFDCECF0"/>
      </x:patternFill>
    </x:fill>
    <x:fill>
      <x:patternFill patternType="solid">
        <x:fgColor rgb="FFE9F4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201" fontId="1" fillId="5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center" wrapText="1"/>
    </x:xf>
    <x:xf numFmtId="201" fontId="10" fillId="0" borderId="0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5ac550123248d6" /><Relationship Type="http://schemas.openxmlformats.org/officeDocument/2006/relationships/theme" Target="/xl/theme/theme1.xml" Id="R5a475e7a28b047a1" /><Relationship Type="http://schemas.openxmlformats.org/officeDocument/2006/relationships/sharedStrings" Target="/xl/sharedStrings.xml" Id="R8cb95e5301f643f0" /><Relationship Type="http://schemas.openxmlformats.org/officeDocument/2006/relationships/worksheet" Target="/xl/worksheets/sheet1.xml" Id="Re4242586a0834ab9" /><Relationship Type="http://schemas.openxmlformats.org/officeDocument/2006/relationships/worksheet" Target="/xl/worksheets/sheet2.xml" Id="Rc4211d99794b47f0" /><Relationship Type="http://schemas.openxmlformats.org/officeDocument/2006/relationships/worksheet" Target="/xl/worksheets/sheet3.xml" Id="Radc58ad659a541ed" /><Relationship Type="http://schemas.openxmlformats.org/officeDocument/2006/relationships/worksheet" Target="/xl/worksheets/sheet4.xml" Id="Rbec4a5fced62422d" /><Relationship Type="http://schemas.openxmlformats.org/officeDocument/2006/relationships/worksheet" Target="/xl/worksheets/sheet5.xml" Id="R464b41224f494aa8" /><Relationship Type="http://schemas.openxmlformats.org/officeDocument/2006/relationships/worksheet" Target="/xl/worksheets/sheet6.xml" Id="Rc6ba838fd7f54aa3" /><Relationship Type="http://schemas.openxmlformats.org/officeDocument/2006/relationships/worksheet" Target="/xl/worksheets/sheet7.xml" Id="Rfec70c2bb63d4bca" /><Relationship Type="http://schemas.openxmlformats.org/officeDocument/2006/relationships/worksheet" Target="/xl/worksheets/sheet8.xml" Id="Rb35189c056a548f8" /><Relationship Type="http://schemas.openxmlformats.org/officeDocument/2006/relationships/worksheet" Target="/xl/worksheets/sheet9.xml" Id="R75516a725600415c" /><Relationship Type="http://schemas.openxmlformats.org/officeDocument/2006/relationships/worksheet" Target="/xl/worksheets/sheet10.xml" Id="Rbaea7929fa2a4ff3" /><Relationship Type="http://schemas.openxmlformats.org/officeDocument/2006/relationships/worksheet" Target="/xl/worksheets/sheet11.xml" Id="Rf8e53fae130b4080" /><Relationship Type="http://schemas.openxmlformats.org/officeDocument/2006/relationships/worksheet" Target="/xl/worksheets/sheet12.xml" Id="R0be5add5cbb34691" /><Relationship Type="http://schemas.openxmlformats.org/officeDocument/2006/relationships/worksheet" Target="/xl/worksheets/sheet13.xml" Id="R94eddbe76dd547d0" /><Relationship Type="http://schemas.openxmlformats.org/officeDocument/2006/relationships/worksheet" Target="/xl/worksheets/sheet14.xml" Id="Rb78051abb34a46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44" customHeight="1">
      <x:c r="A1" s="20" t="str">
        <x:v>GHG 內部資料蒐集｜MOENV Training</x:v>
      </x:c>
      <x:c r="B1" s="20"/>
      <x:c r="C1" s="20"/>
      <x:c r="D1" s="20"/>
      <x:c r="E1" s="20"/>
    </x:row>
    <x:row r="2">
      <x:c r="A2" s="22" t="str">
        <x:v>合成資料・非官方申報檔・非查驗聲明。依環境部表一至表十一設計；12／13 為專案追溯擴充。空白不等於零。</x:v>
      </x:c>
      <x:c r="B2" s="22"/>
      <x:c r="C2" s="22"/>
      <x:c r="D2" s="22"/>
      <x:c r="E2" s="22"/>
    </x:row>
    <x:row r="3">
      <x:c r="A3" s="22"/>
      <x:c r="B3" s="22"/>
      <x:c r="C3" s="22"/>
      <x:c r="D3" s="22"/>
      <x:c r="E3" s="22"/>
    </x:row>
    <x:row r="5" ht="30" customHeight="1">
      <x:c r="A5" s="27" t="str">
        <x:v>項目</x:v>
      </x:c>
      <x:c r="B5" s="27" t="str">
        <x:v>kgCO2e</x:v>
      </x:c>
      <x:c r="C5" s="25"/>
      <x:c r="D5" s="25"/>
      <x:c r="E5" s="25"/>
    </x:row>
    <x:row r="6" ht="30" customHeight="1">
      <x:c r="A6" s="25" t="str">
        <x:v>直接排放</x:v>
      </x:c>
      <x:c r="B6" s="26" t="n">
        <x:f>IF(COUNT('05 Calculation'!M5:M15)&lt;&gt;11,"MISSING",SUM('05 Calculation'!M5:M15)-SUMIF('05 Calculation'!B5:B15,"electricity",'05 Calculation'!M5:M15))</x:f>
        <x:v>28964.209243999998</x:v>
      </x:c>
      <x:c r="C6" s="25"/>
      <x:c r="D6" s="25"/>
      <x:c r="E6" s="25"/>
    </x:row>
    <x:row r="7" ht="30" customHeight="1">
      <x:c r="A7" s="25" t="str">
        <x:v>能源間接排放</x:v>
      </x:c>
      <x:c r="B7" s="26" t="n">
        <x:f>IF(ISNUMBER(B6),SUMIF('05 Calculation'!B5:B15,"electricity",'05 Calculation'!M5:M15),"MISSING")</x:f>
        <x:v>66265.2</x:v>
      </x:c>
      <x:c r="C7" s="25"/>
      <x:c r="D7" s="25"/>
      <x:c r="E7" s="25"/>
    </x:row>
    <x:row r="8" ht="30" customHeight="1">
      <x:c r="A8" s="25" t="str">
        <x:v>合計</x:v>
      </x:c>
      <x:c r="B8" s="26" t="n">
        <x:f>IF(ISNUMBER(B6),B6+B7,"MISSING")</x:f>
        <x:v>95229.409244</x:v>
      </x:c>
      <x:c r="C8" s="25"/>
      <x:c r="D8" s="25"/>
      <x:c r="E8" s="25"/>
    </x:row>
    <x:row r="9" ht="30" customHeight="1">
      <x:c r="A9" s="25" t="str">
        <x:v>合計 tCO2e</x:v>
      </x:c>
      <x:c r="B9" s="26" t="n">
        <x:f>IF(ISNUMBER(B8),B8/1000,"MISSING")</x:f>
        <x:v>95.229409244</x:v>
      </x:c>
      <x:c r="C9" s="25"/>
      <x:c r="D9" s="25"/>
      <x:c r="E9" s="25"/>
    </x:row>
    <x:row r="10" ht="30" customHeight="1">
      <x:c r="A10" s="25"/>
      <x:c r="B10" s="25"/>
      <x:c r="C10" s="25"/>
      <x:c r="D10" s="25"/>
      <x:c r="E10" s="25"/>
    </x:row>
    <x:row r="11" ht="30" customHeight="1">
      <x:c r="A11" s="25" t="str">
        <x:v>使用順序：界定廠場 → 鑑別排放源 → 每月填活動資料並附憑證 → 選定係數及 GWP → 計算 → 品質／不確定性／覆核。每年另存一本。年度範例保留固定五組月資料順序，請勿移動列；正式驗證請執行 Repo 的 CSV／憑證檢查。</x:v>
      </x:c>
      <x:c r="B11" s="25"/>
      <x:c r="C11" s="25"/>
      <x:c r="D11" s="25"/>
      <x:c r="E11" s="25"/>
    </x:row>
    <x:row r="12" ht="30" customHeight="1">
      <x:c r="A12" s="25"/>
      <x:c r="B12" s="25"/>
      <x:c r="C12" s="25"/>
      <x:c r="D12" s="25"/>
      <x:c r="E12" s="25"/>
    </x:row>
    <x:row r="13" ht="30" customHeight="1">
      <x:c r="A13" s="25"/>
      <x:c r="B13" s="25"/>
      <x:c r="C13" s="25"/>
      <x:c r="D13" s="25"/>
      <x:c r="E13" s="25"/>
    </x:row>
    <x:row r="14" ht="30" customHeight="1">
      <x:c r="A14" s="25"/>
      <x:c r="B14" s="25"/>
      <x:c r="C14" s="25"/>
      <x:c r="D14" s="25"/>
      <x:c r="E14" s="25"/>
    </x:row>
    <x:row r="15" ht="30" customHeight="1">
      <x:c r="A15" s="25"/>
      <x:c r="B15" s="25"/>
      <x:c r="C15" s="25"/>
      <x:c r="D15" s="25"/>
      <x:c r="E15" s="25"/>
    </x:row>
    <x:row r="16" ht="30" customHeight="1">
      <x:c r="A16" s="25" t="str">
        <x:v>範例使用歷史電力係數作跨期教學，不代表現行法規所要求的最新係數。燃料低位熱值為虛構；不確定性未評估。量化表綠色欄為公式，活動表藍字欄為可修改數值。憑證內容與雜湊須另行同步，試算表不會自動重新產生證據。</x:v>
      </x:c>
      <x:c r="B16" s="25"/>
      <x:c r="C16" s="25"/>
      <x:c r="D16" s="25"/>
      <x:c r="E16" s="25"/>
    </x:row>
    <x:row r="17" ht="30" customHeight="1">
      <x:c r="A17" s="25"/>
      <x:c r="B17" s="25"/>
      <x:c r="C17" s="25"/>
      <x:c r="D17" s="25"/>
      <x:c r="E17" s="25"/>
    </x:row>
    <x:row r="18" ht="30" customHeight="1">
      <x:c r="A18" s="25"/>
      <x:c r="B18" s="25"/>
      <x:c r="C18" s="25"/>
      <x:c r="D18" s="25"/>
      <x:c r="E18" s="25"/>
    </x:row>
    <x:row r="19" ht="30" customHeight="1">
      <x:c r="A19" s="25"/>
      <x:c r="B19" s="25"/>
      <x:c r="C19" s="25"/>
      <x:c r="D19" s="25"/>
      <x:c r="E19" s="25"/>
    </x:row>
  </x:sheetData>
  <x:mergeCells>
    <x:mergeCell ref="A1:E1"/>
    <x:mergeCell ref="A2:E3"/>
    <x:mergeCell ref="A11:E14"/>
    <x:mergeCell ref="A16:E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40" customHeight="1">
      <x:c r="A1" s="5" t="str">
        <x:v>事業基本資料｜2024 年合成範例</x:v>
      </x:c>
      <x:c r="B1" s="5"/>
      <x:c r="C1" s="5"/>
      <x:c r="D1" s="5"/>
      <x:c r="E1" s="5"/>
      <x:c r="F1" s="5"/>
      <x:c r="G1" s="3"/>
      <x:c r="H1" s="3"/>
      <x:c r="I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  <x:c r="H2" s="3"/>
      <x:c r="I2" s="3"/>
    </x:row>
    <x:row r="3" ht="72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64" customHeight="1">
      <x:c r="A4" s="9" t="str">
        <x:v>年度 year</x:v>
      </x:c>
      <x:c r="B4" s="9" t="str">
        <x:v>organization</x:v>
      </x:c>
      <x:c r="C4" s="9" t="str">
        <x:v>facility_id</x:v>
      </x:c>
      <x:c r="D4" s="9" t="str">
        <x:v>registration_id</x:v>
      </x:c>
      <x:c r="E4" s="9" t="str">
        <x:v>industry</x:v>
      </x:c>
      <x:c r="F4" s="9" t="str">
        <x:v>owner_role</x:v>
      </x:c>
      <x:c r="G4" s="9" t="str">
        <x:v>contact_role</x:v>
      </x:c>
      <x:c r="H4" s="9" t="str">
        <x:v>assurance_status</x:v>
      </x:c>
      <x:c r="I4" s="9" t="str">
        <x:v>是否合成資料</x:v>
      </x:c>
    </x:row>
    <x:row r="5" ht="72" customHeight="1">
      <x:c r="A5" s="10" t="n">
        <x:v>2024</x:v>
      </x:c>
      <x:c r="B5" s="3" t="str">
        <x:v>示範製造廠（完全虛構）</x:v>
      </x:c>
      <x:c r="C5" s="3" t="str">
        <x:v>demo-plant</x:v>
      </x:c>
      <x:c r="D5" s="3" t="str">
        <x:v>NOT-A-REAL-REGISTRATION</x:v>
      </x:c>
      <x:c r="E5" s="3" t="str">
        <x:v>generic-manufacturing-training</x:v>
      </x:c>
      <x:c r="F5" s="3" t="str">
        <x:v>simulated-manager</x:v>
      </x:c>
      <x:c r="G5" s="3" t="str">
        <x:v>simulated-coordinator</x:v>
      </x:c>
      <x:c r="H5" s="3" t="str">
        <x:v>not-assured</x:v>
      </x:c>
      <x:c r="I5" s="3" t="str">
        <x:v>True</x:v>
      </x:c>
    </x:row>
    <x:row r="6" ht="72" customHeight="1">
      <x:c r="A6" s="3"/>
      <x:c r="B6" s="3"/>
      <x:c r="C6" s="3"/>
      <x:c r="D6" s="3"/>
      <x:c r="E6" s="3"/>
      <x:c r="F6" s="3"/>
      <x:c r="G6" s="3"/>
      <x:c r="H6" s="3"/>
      <x:c r="I6" s="3"/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40" customHeight="1">
      <x:c r="A1" s="5" t="str">
        <x:v>邊界設定｜2024 年合成範例</x:v>
      </x:c>
      <x:c r="B1" s="5"/>
      <x:c r="C1" s="5"/>
      <x:c r="D1" s="5"/>
      <x:c r="E1" s="5"/>
      <x:c r="F1" s="5"/>
      <x:c r="G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</x:row>
    <x:row r="3" ht="72" customHeight="1">
      <x:c r="A3" s="3"/>
      <x:c r="B3" s="3"/>
      <x:c r="C3" s="3"/>
      <x:c r="D3" s="3"/>
      <x:c r="E3" s="3"/>
      <x:c r="F3" s="3"/>
      <x:c r="G3" s="3"/>
    </x:row>
    <x:row r="4" ht="64" customHeight="1">
      <x:c r="A4" s="9" t="str">
        <x:v>年度 year</x:v>
      </x:c>
      <x:c r="B4" s="9" t="str">
        <x:v>facility_id</x:v>
      </x:c>
      <x:c r="C4" s="9" t="str">
        <x:v>boundary</x:v>
      </x:c>
      <x:c r="D4" s="9" t="str">
        <x:v>site_plan_evidence</x:v>
      </x:c>
      <x:c r="E4" s="9" t="str">
        <x:v>exclusions</x:v>
      </x:c>
      <x:c r="F4" s="9" t="str">
        <x:v>reason</x:v>
      </x:c>
      <x:c r="G4" s="9" t="str">
        <x:v>是否合成資料</x:v>
      </x:c>
    </x:row>
    <x:row r="5" ht="72" customHeight="1">
      <x:c r="A5" s="10" t="n">
        <x:v>2024</x:v>
      </x:c>
      <x:c r="B5" s="3" t="str">
        <x:v>demo-plant</x:v>
      </x:c>
      <x:c r="C5" s="3" t="str">
        <x:v>single fictional plant under operational control</x:v>
      </x:c>
      <x:c r="D5" s="3" t="str">
        <x:v>scenario</x:v>
      </x:c>
      <x:c r="E5" s="3" t="str">
        <x:v>onsite process gas; SF6/PFC/NF3; onsite wastewater; purchased steam; biomass</x:v>
      </x:c>
      <x:c r="F5" s="3" t="str">
        <x:v>scenario has no relevant process/equipment; sanitary wastewater discharged to public sewer with no onsite anaerobic treatment; verify in any real application</x:v>
      </x:c>
      <x:c r="G5" s="3" t="str">
        <x:v>True</x:v>
      </x:c>
    </x:row>
    <x:row r="6" ht="72" customHeight="1">
      <x:c r="A6" s="3"/>
      <x:c r="B6" s="3"/>
      <x:c r="C6" s="3"/>
      <x:c r="D6" s="3"/>
      <x:c r="E6" s="3"/>
      <x:c r="F6" s="3"/>
      <x:c r="G6" s="3"/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30" hidden="0" customWidth="1"/>
  </x:cols>
  <x:sheetData>
    <x:row r="1" ht="40" customHeight="1">
      <x:c r="A1" s="5" t="str">
        <x:v>排放源鑑別｜2024 年合成範例</x:v>
      </x:c>
      <x:c r="B1" s="5"/>
      <x:c r="C1" s="5"/>
      <x:c r="D1" s="5"/>
      <x:c r="E1" s="5"/>
      <x:c r="F1" s="5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  <x:c r="H2" s="3"/>
      <x:c r="I2" s="3"/>
      <x:c r="J2" s="3"/>
      <x:c r="K2" s="3"/>
      <x:c r="L2" s="3"/>
      <x:c r="M2" s="3"/>
      <x:c r="N2" s="3"/>
      <x:c r="O2" s="3"/>
    </x:row>
    <x:row r="3" ht="7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64" customHeight="1">
      <x:c r="A4" s="9" t="str">
        <x:v>年度 year</x:v>
      </x:c>
      <x:c r="B4" s="9" t="str">
        <x:v>排放源 ID</x:v>
      </x:c>
      <x:c r="C4" s="9" t="str">
        <x:v>source_name</x:v>
      </x:c>
      <x:c r="D4" s="9" t="str">
        <x:v>process_id</x:v>
      </x:c>
      <x:c r="E4" s="9" t="str">
        <x:v>equipment_id</x:v>
      </x:c>
      <x:c r="F4" s="9" t="str">
        <x:v>material</x:v>
      </x:c>
      <x:c r="G4" s="9" t="str">
        <x:v>direct_or_energy_indirect</x:v>
      </x:c>
      <x:c r="H4" s="9" t="str">
        <x:v>emission_type</x:v>
      </x:c>
      <x:c r="I4" s="9" t="str">
        <x:v>gases</x:v>
      </x:c>
      <x:c r="J4" s="9" t="str">
        <x:v>biomass</x:v>
      </x:c>
      <x:c r="K4" s="9" t="str">
        <x:v>cogeneration</x:v>
      </x:c>
      <x:c r="L4" s="9" t="str">
        <x:v>status</x:v>
      </x:c>
      <x:c r="M4" s="9" t="str">
        <x:v>start_date</x:v>
      </x:c>
      <x:c r="N4" s="9" t="str">
        <x:v>end_date</x:v>
      </x:c>
      <x:c r="O4" s="9" t="str">
        <x:v>憑證 ID</x:v>
      </x:c>
    </x:row>
    <x:row r="5" ht="72" customHeight="1">
      <x:c r="A5" s="10" t="n">
        <x:v>2024</x:v>
      </x:c>
      <x:c r="B5" s="3" t="str">
        <x:v>boiler</x:v>
      </x:c>
      <x:c r="C5" s="3" t="str">
        <x:v>天然氣鍋爐</x:v>
      </x:c>
      <x:c r="D5" s="3" t="str">
        <x:v>demo-utilities</x:v>
      </x:c>
      <x:c r="E5" s="3" t="str">
        <x:v>boiler</x:v>
      </x:c>
      <x:c r="F5" s="3" t="str">
        <x:v>天然氣</x:v>
      </x:c>
      <x:c r="G5" s="3" t="str">
        <x:v>direct</x:v>
      </x:c>
      <x:c r="H5" s="3" t="str">
        <x:v>固定燃燒</x:v>
      </x:c>
      <x:c r="I5" s="3" t="str">
        <x:v>CO2;CH4;N2O</x:v>
      </x:c>
      <x:c r="J5" s="3" t="str">
        <x:v>False</x:v>
      </x:c>
      <x:c r="K5" s="3" t="str">
        <x:v>False</x:v>
      </x:c>
      <x:c r="L5" s="3" t="str">
        <x:v>included</x:v>
      </x:c>
      <x:c r="M5" s="3" t="str">
        <x:v>before-2023</x:v>
      </x:c>
      <x:c r="N5" s="3" t="str">
        <x:v>ongoing</x:v>
      </x:c>
      <x:c r="O5" s="3" t="str">
        <x:v>scenario</x:v>
      </x:c>
    </x:row>
    <x:row r="6" ht="72" customHeight="1">
      <x:c r="A6" s="10" t="n">
        <x:v>2024</x:v>
      </x:c>
      <x:c r="B6" s="3" t="str">
        <x:v>generator</x:v>
      </x:c>
      <x:c r="C6" s="3" t="str">
        <x:v>柴油備援發電機</x:v>
      </x:c>
      <x:c r="D6" s="3" t="str">
        <x:v>demo-utilities</x:v>
      </x:c>
      <x:c r="E6" s="3" t="str">
        <x:v>generator</x:v>
      </x:c>
      <x:c r="F6" s="3" t="str">
        <x:v>柴油</x:v>
      </x:c>
      <x:c r="G6" s="3" t="str">
        <x:v>direct</x:v>
      </x:c>
      <x:c r="H6" s="3" t="str">
        <x:v>固定燃燒</x:v>
      </x:c>
      <x:c r="I6" s="3" t="str">
        <x:v>CO2;CH4;N2O</x:v>
      </x:c>
      <x:c r="J6" s="3" t="str">
        <x:v>False</x:v>
      </x:c>
      <x:c r="K6" s="3" t="str">
        <x:v>False</x:v>
      </x:c>
      <x:c r="L6" s="3" t="str">
        <x:v>included</x:v>
      </x:c>
      <x:c r="M6" s="3" t="str">
        <x:v>before-2023</x:v>
      </x:c>
      <x:c r="N6" s="3" t="str">
        <x:v>ongoing</x:v>
      </x:c>
      <x:c r="O6" s="3" t="str">
        <x:v>scenario</x:v>
      </x:c>
    </x:row>
    <x:row r="7" ht="72" customHeight="1">
      <x:c r="A7" s="10" t="n">
        <x:v>2024</x:v>
      </x:c>
      <x:c r="B7" s="3" t="str">
        <x:v>new-generator</x:v>
      </x:c>
      <x:c r="C7" s="3" t="str">
        <x:v>新增柴油備援發電機</x:v>
      </x:c>
      <x:c r="D7" s="3" t="str">
        <x:v>demo-utilities</x:v>
      </x:c>
      <x:c r="E7" s="3" t="str">
        <x:v>new-generator</x:v>
      </x:c>
      <x:c r="F7" s="3" t="str">
        <x:v>柴油</x:v>
      </x:c>
      <x:c r="G7" s="3" t="str">
        <x:v>direct</x:v>
      </x:c>
      <x:c r="H7" s="3" t="str">
        <x:v>固定燃燒</x:v>
      </x:c>
      <x:c r="I7" s="3" t="str">
        <x:v>CO2;CH4;N2O</x:v>
      </x:c>
      <x:c r="J7" s="3" t="str">
        <x:v>False</x:v>
      </x:c>
      <x:c r="K7" s="3" t="str">
        <x:v>False</x:v>
      </x:c>
      <x:c r="L7" s="3" t="str">
        <x:v>included</x:v>
      </x:c>
      <x:c r="M7" s="3" t="str">
        <x:v>2024-07-01</x:v>
      </x:c>
      <x:c r="N7" s="3" t="str">
        <x:v>ongoing</x:v>
      </x:c>
      <x:c r="O7" s="3" t="str">
        <x:v>scenario</x:v>
      </x:c>
    </x:row>
    <x:row r="8" ht="72" customHeight="1">
      <x:c r="A8" s="10" t="n">
        <x:v>2024</x:v>
      </x:c>
      <x:c r="B8" s="3" t="str">
        <x:v>cooling</x:v>
      </x:c>
      <x:c r="C8" s="3" t="str">
        <x:v>HFC-134a空調系統</x:v>
      </x:c>
      <x:c r="D8" s="3" t="str">
        <x:v>demo-utilities</x:v>
      </x:c>
      <x:c r="E8" s="3" t="str">
        <x:v>cooling</x:v>
      </x:c>
      <x:c r="F8" s="3" t="str">
        <x:v>HFC-134a</x:v>
      </x:c>
      <x:c r="G8" s="3" t="str">
        <x:v>direct</x:v>
      </x:c>
      <x:c r="H8" s="3" t="str">
        <x:v>逸散</x:v>
      </x:c>
      <x:c r="I8" s="3" t="str">
        <x:v>HFCs</x:v>
      </x:c>
      <x:c r="J8" s="3" t="str">
        <x:v>False</x:v>
      </x:c>
      <x:c r="K8" s="3" t="str">
        <x:v>False</x:v>
      </x:c>
      <x:c r="L8" s="3" t="str">
        <x:v>included</x:v>
      </x:c>
      <x:c r="M8" s="3" t="str">
        <x:v>before-2023</x:v>
      </x:c>
      <x:c r="N8" s="3" t="str">
        <x:v>ongoing</x:v>
      </x:c>
      <x:c r="O8" s="3" t="str">
        <x:v>scenario</x:v>
      </x:c>
    </x:row>
    <x:row r="9" ht="72" customHeight="1">
      <x:c r="A9" s="10" t="n">
        <x:v>2024</x:v>
      </x:c>
      <x:c r="B9" s="3" t="str">
        <x:v>electricity</x:v>
      </x:c>
      <x:c r="C9" s="3" t="str">
        <x:v>外購電力總表</x:v>
      </x:c>
      <x:c r="D9" s="3" t="str">
        <x:v>demo-utilities</x:v>
      </x:c>
      <x:c r="E9" s="3" t="str">
        <x:v>electricity</x:v>
      </x:c>
      <x:c r="F9" s="3" t="str">
        <x:v>電力</x:v>
      </x:c>
      <x:c r="G9" s="3" t="str">
        <x:v>energy-indirect</x:v>
      </x:c>
      <x:c r="H9" s="3" t="str">
        <x:v>外購電力</x:v>
      </x:c>
      <x:c r="I9" s="3" t="str">
        <x:v>CO2e</x:v>
      </x:c>
      <x:c r="J9" s="3" t="str">
        <x:v>False</x:v>
      </x:c>
      <x:c r="K9" s="3" t="str">
        <x:v>False</x:v>
      </x:c>
      <x:c r="L9" s="3" t="str">
        <x:v>included</x:v>
      </x:c>
      <x:c r="M9" s="3" t="str">
        <x:v>before-2023</x:v>
      </x:c>
      <x:c r="N9" s="3" t="str">
        <x:v>ongoing</x:v>
      </x:c>
      <x:c r="O9" s="3" t="str">
        <x:v>scenario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30" hidden="0" customWidth="1"/>
    <x:col min="4" max="4" width="24" hidden="0" customWidth="1"/>
    <x:col min="5" max="5" width="24" hidden="0" customWidth="1"/>
    <x:col min="6" max="6" width="24" hidden="0" customWidth="1"/>
    <x:col min="7" max="7" width="30" hidden="0" customWidth="1"/>
    <x:col min="8" max="8" width="30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</x:cols>
  <x:sheetData>
    <x:row r="1" ht="40" customHeight="1">
      <x:c r="A1" s="5" t="str">
        <x:v>逐月活動數據｜2024 年合成範例</x:v>
      </x:c>
      <x:c r="B1" s="5"/>
      <x:c r="C1" s="5"/>
      <x:c r="D1" s="5"/>
      <x:c r="E1" s="5"/>
      <x:c r="F1" s="5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  <x:c r="H2" s="3"/>
      <x:c r="I2" s="3"/>
      <x:c r="J2" s="3"/>
      <x:c r="K2" s="3"/>
      <x:c r="L2" s="3"/>
      <x:c r="M2" s="3"/>
      <x:c r="N2" s="3"/>
      <x:c r="O2" s="3"/>
    </x:row>
    <x:row r="3" ht="7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64" customHeight="1">
      <x:c r="A4" s="9" t="str">
        <x:v>年度 year</x:v>
      </x:c>
      <x:c r="B4" s="9" t="str">
        <x:v>月份 month</x:v>
      </x:c>
      <x:c r="C4" s="9" t="str">
        <x:v>排放源 ID</x:v>
      </x:c>
      <x:c r="D4" s="9" t="str">
        <x:v>數量 quantity</x:v>
      </x:c>
      <x:c r="E4" s="9" t="str">
        <x:v>單位 unit</x:v>
      </x:c>
      <x:c r="F4" s="9" t="str">
        <x:v>資料狀態</x:v>
      </x:c>
      <x:c r="G4" s="9" t="str">
        <x:v>憑證 ID</x:v>
      </x:c>
      <x:c r="H4" s="9" t="str">
        <x:v>憑證 SHA256</x:v>
      </x:c>
      <x:c r="I4" s="9" t="str">
        <x:v>保存單位</x:v>
      </x:c>
      <x:c r="J4" s="9" t="str">
        <x:v>measurement_frequency</x:v>
      </x:c>
      <x:c r="K4" s="9" t="str">
        <x:v>instrument</x:v>
      </x:c>
      <x:c r="L4" s="9" t="str">
        <x:v>calibration</x:v>
      </x:c>
      <x:c r="M4" s="9" t="str">
        <x:v>allocation_share</x:v>
      </x:c>
      <x:c r="N4" s="9" t="str">
        <x:v>method</x:v>
      </x:c>
      <x:c r="O4" s="9" t="str">
        <x:v>是否合成資料</x:v>
      </x:c>
    </x:row>
    <x:row r="5" ht="72" customHeight="1">
      <x:c r="A5" s="10" t="n">
        <x:v>2024</x:v>
      </x:c>
      <x:c r="B5" s="10" t="n">
        <x:v>1</x:v>
      </x:c>
      <x:c r="C5" s="3" t="str">
        <x:v>boiler</x:v>
      </x:c>
      <x:c r="D5" s="12" t="n">
        <x:v>910</x:v>
      </x:c>
      <x:c r="E5" s="3" t="str">
        <x:v>meter ** 3</x:v>
      </x:c>
      <x:c r="F5" s="3" t="str">
        <x:v>recorded</x:v>
      </x:c>
      <x:c r="G5" s="3" t="str">
        <x:v>2024-boiler-01</x:v>
      </x:c>
      <x:c r="H5" s="3" t="str">
        <x:v>9ff0b8012cee9ee0742353d8c99c3bdd47fd11c4f7e852e78f89e7833153fc11</x:v>
      </x:c>
      <x:c r="I5" s="3" t="str">
        <x:v>simulated-facilities-team</x:v>
      </x:c>
      <x:c r="J5" s="3" t="str">
        <x:v>monthly</x:v>
      </x:c>
      <x:c r="K5" s="3" t="str">
        <x:v>synthetic-log</x:v>
      </x:c>
      <x:c r="L5" s="3" t="str">
        <x:v>not-established</x:v>
      </x:c>
      <x:c r="M5" s="11" t="n">
        <x:v>1</x:v>
      </x:c>
      <x:c r="N5" s="3" t="str">
        <x:v>documented-consumption-or-leakage</x:v>
      </x:c>
      <x:c r="O5" s="3" t="str">
        <x:v>True</x:v>
      </x:c>
    </x:row>
    <x:row r="6" ht="72" customHeight="1">
      <x:c r="A6" s="10" t="n">
        <x:v>2024</x:v>
      </x:c>
      <x:c r="B6" s="10" t="n">
        <x:v>2</x:v>
      </x:c>
      <x:c r="C6" s="3" t="str">
        <x:v>boiler</x:v>
      </x:c>
      <x:c r="D6" s="12" t="n">
        <x:v>920</x:v>
      </x:c>
      <x:c r="E6" s="3" t="str">
        <x:v>meter ** 3</x:v>
      </x:c>
      <x:c r="F6" s="3" t="str">
        <x:v>recorded</x:v>
      </x:c>
      <x:c r="G6" s="3" t="str">
        <x:v>2024-boiler-02</x:v>
      </x:c>
      <x:c r="H6" s="3" t="str">
        <x:v>f29cd0de555b0d68bfb51be3d1823b1eb1dc557199bf4d46941626f66f585cdb</x:v>
      </x:c>
      <x:c r="I6" s="3" t="str">
        <x:v>simulated-facilities-team</x:v>
      </x:c>
      <x:c r="J6" s="3" t="str">
        <x:v>monthly</x:v>
      </x:c>
      <x:c r="K6" s="3" t="str">
        <x:v>synthetic-log</x:v>
      </x:c>
      <x:c r="L6" s="3" t="str">
        <x:v>not-established</x:v>
      </x:c>
      <x:c r="M6" s="11" t="n">
        <x:v>1</x:v>
      </x:c>
      <x:c r="N6" s="3" t="str">
        <x:v>documented-consumption-or-leakage</x:v>
      </x:c>
      <x:c r="O6" s="3" t="str">
        <x:v>True</x:v>
      </x:c>
    </x:row>
    <x:row r="7" ht="72" customHeight="1">
      <x:c r="A7" s="10" t="n">
        <x:v>2024</x:v>
      </x:c>
      <x:c r="B7" s="10" t="n">
        <x:v>3</x:v>
      </x:c>
      <x:c r="C7" s="3" t="str">
        <x:v>boiler</x:v>
      </x:c>
      <x:c r="D7" s="12" t="n">
        <x:v>930</x:v>
      </x:c>
      <x:c r="E7" s="3" t="str">
        <x:v>meter ** 3</x:v>
      </x:c>
      <x:c r="F7" s="3" t="str">
        <x:v>recorded</x:v>
      </x:c>
      <x:c r="G7" s="3" t="str">
        <x:v>2024-boiler-03</x:v>
      </x:c>
      <x:c r="H7" s="3" t="str">
        <x:v>1daacc7850dc84546662270b88fda94ab5c16761f3c9d5d749c25ab329e1e914</x:v>
      </x:c>
      <x:c r="I7" s="3" t="str">
        <x:v>simulated-facilities-team</x:v>
      </x:c>
      <x:c r="J7" s="3" t="str">
        <x:v>monthly</x:v>
      </x:c>
      <x:c r="K7" s="3" t="str">
        <x:v>synthetic-log</x:v>
      </x:c>
      <x:c r="L7" s="3" t="str">
        <x:v>not-established</x:v>
      </x:c>
      <x:c r="M7" s="11" t="n">
        <x:v>1</x:v>
      </x:c>
      <x:c r="N7" s="3" t="str">
        <x:v>documented-consumption-or-leakage</x:v>
      </x:c>
      <x:c r="O7" s="3" t="str">
        <x:v>True</x:v>
      </x:c>
    </x:row>
    <x:row r="8" ht="72" customHeight="1">
      <x:c r="A8" s="10" t="n">
        <x:v>2024</x:v>
      </x:c>
      <x:c r="B8" s="10" t="n">
        <x:v>4</x:v>
      </x:c>
      <x:c r="C8" s="3" t="str">
        <x:v>boiler</x:v>
      </x:c>
      <x:c r="D8" s="12" t="n">
        <x:v>940</x:v>
      </x:c>
      <x:c r="E8" s="3" t="str">
        <x:v>meter ** 3</x:v>
      </x:c>
      <x:c r="F8" s="3" t="str">
        <x:v>recorded</x:v>
      </x:c>
      <x:c r="G8" s="3" t="str">
        <x:v>2024-boiler-04</x:v>
      </x:c>
      <x:c r="H8" s="3" t="str">
        <x:v>a620be7e35efa9b2c46bbc97eef2aecfa21a4bd6205d06c7f038142a10efd9a5</x:v>
      </x:c>
      <x:c r="I8" s="3" t="str">
        <x:v>simulated-facilities-team</x:v>
      </x:c>
      <x:c r="J8" s="3" t="str">
        <x:v>monthly</x:v>
      </x:c>
      <x:c r="K8" s="3" t="str">
        <x:v>synthetic-log</x:v>
      </x:c>
      <x:c r="L8" s="3" t="str">
        <x:v>not-established</x:v>
      </x:c>
      <x:c r="M8" s="11" t="n">
        <x:v>1</x:v>
      </x:c>
      <x:c r="N8" s="3" t="str">
        <x:v>documented-consumption-or-leakage</x:v>
      </x:c>
      <x:c r="O8" s="3" t="str">
        <x:v>True</x:v>
      </x:c>
    </x:row>
    <x:row r="9" ht="72" customHeight="1">
      <x:c r="A9" s="10" t="n">
        <x:v>2024</x:v>
      </x:c>
      <x:c r="B9" s="10" t="n">
        <x:v>5</x:v>
      </x:c>
      <x:c r="C9" s="3" t="str">
        <x:v>boiler</x:v>
      </x:c>
      <x:c r="D9" s="12" t="n">
        <x:v>950</x:v>
      </x:c>
      <x:c r="E9" s="3" t="str">
        <x:v>meter ** 3</x:v>
      </x:c>
      <x:c r="F9" s="3" t="str">
        <x:v>recorded</x:v>
      </x:c>
      <x:c r="G9" s="3" t="str">
        <x:v>2024-boiler-05</x:v>
      </x:c>
      <x:c r="H9" s="3" t="str">
        <x:v>988d31a37d8ae83fee832e4d1da0a7e92c4e4a25f092b1e5a5cd4fc617da548c</x:v>
      </x:c>
      <x:c r="I9" s="3" t="str">
        <x:v>simulated-facilities-team</x:v>
      </x:c>
      <x:c r="J9" s="3" t="str">
        <x:v>monthly</x:v>
      </x:c>
      <x:c r="K9" s="3" t="str">
        <x:v>synthetic-log</x:v>
      </x:c>
      <x:c r="L9" s="3" t="str">
        <x:v>not-established</x:v>
      </x:c>
      <x:c r="M9" s="11" t="n">
        <x:v>1</x:v>
      </x:c>
      <x:c r="N9" s="3" t="str">
        <x:v>documented-consumption-or-leakage</x:v>
      </x:c>
      <x:c r="O9" s="3" t="str">
        <x:v>True</x:v>
      </x:c>
    </x:row>
    <x:row r="10" ht="72" customHeight="1">
      <x:c r="A10" s="10" t="n">
        <x:v>2024</x:v>
      </x:c>
      <x:c r="B10" s="10" t="n">
        <x:v>6</x:v>
      </x:c>
      <x:c r="C10" s="3" t="str">
        <x:v>boiler</x:v>
      </x:c>
      <x:c r="D10" s="12" t="n">
        <x:v>960</x:v>
      </x:c>
      <x:c r="E10" s="3" t="str">
        <x:v>meter ** 3</x:v>
      </x:c>
      <x:c r="F10" s="3" t="str">
        <x:v>recorded</x:v>
      </x:c>
      <x:c r="G10" s="3" t="str">
        <x:v>2024-boiler-06</x:v>
      </x:c>
      <x:c r="H10" s="3" t="str">
        <x:v>43386f86a937793094a94a0289ade1f27c0ea6c573e0edfe5aabd8896ff40389</x:v>
      </x:c>
      <x:c r="I10" s="3" t="str">
        <x:v>simulated-facilities-team</x:v>
      </x:c>
      <x:c r="J10" s="3" t="str">
        <x:v>monthly</x:v>
      </x:c>
      <x:c r="K10" s="3" t="str">
        <x:v>synthetic-log</x:v>
      </x:c>
      <x:c r="L10" s="3" t="str">
        <x:v>not-established</x:v>
      </x:c>
      <x:c r="M10" s="11" t="n">
        <x:v>1</x:v>
      </x:c>
      <x:c r="N10" s="3" t="str">
        <x:v>documented-consumption-or-leakage</x:v>
      </x:c>
      <x:c r="O10" s="3" t="str">
        <x:v>True</x:v>
      </x:c>
    </x:row>
    <x:row r="11" ht="72" customHeight="1">
      <x:c r="A11" s="10" t="n">
        <x:v>2024</x:v>
      </x:c>
      <x:c r="B11" s="10" t="n">
        <x:v>7</x:v>
      </x:c>
      <x:c r="C11" s="3" t="str">
        <x:v>boiler</x:v>
      </x:c>
      <x:c r="D11" s="12" t="n">
        <x:v>970</x:v>
      </x:c>
      <x:c r="E11" s="3" t="str">
        <x:v>meter ** 3</x:v>
      </x:c>
      <x:c r="F11" s="3" t="str">
        <x:v>recorded</x:v>
      </x:c>
      <x:c r="G11" s="3" t="str">
        <x:v>2024-boiler-07</x:v>
      </x:c>
      <x:c r="H11" s="3" t="str">
        <x:v>99b90a47814981b9fd543fe08dae1f2898b4b022ce6c8b203660ca2c72776082</x:v>
      </x:c>
      <x:c r="I11" s="3" t="str">
        <x:v>simulated-facilities-team</x:v>
      </x:c>
      <x:c r="J11" s="3" t="str">
        <x:v>monthly</x:v>
      </x:c>
      <x:c r="K11" s="3" t="str">
        <x:v>synthetic-log</x:v>
      </x:c>
      <x:c r="L11" s="3" t="str">
        <x:v>not-established</x:v>
      </x:c>
      <x:c r="M11" s="11" t="n">
        <x:v>1</x:v>
      </x:c>
      <x:c r="N11" s="3" t="str">
        <x:v>documented-consumption-or-leakage</x:v>
      </x:c>
      <x:c r="O11" s="3" t="str">
        <x:v>True</x:v>
      </x:c>
    </x:row>
    <x:row r="12" ht="72" customHeight="1">
      <x:c r="A12" s="10" t="n">
        <x:v>2024</x:v>
      </x:c>
      <x:c r="B12" s="10" t="n">
        <x:v>8</x:v>
      </x:c>
      <x:c r="C12" s="3" t="str">
        <x:v>boiler</x:v>
      </x:c>
      <x:c r="D12" s="12" t="n">
        <x:v>980</x:v>
      </x:c>
      <x:c r="E12" s="3" t="str">
        <x:v>meter ** 3</x:v>
      </x:c>
      <x:c r="F12" s="3" t="str">
        <x:v>recorded</x:v>
      </x:c>
      <x:c r="G12" s="3" t="str">
        <x:v>2024-boiler-08</x:v>
      </x:c>
      <x:c r="H12" s="3" t="str">
        <x:v>78d0946ec1d43756d1a6ea22789e2e7e8b7f80c012b6ce84e01b69de23cae12d</x:v>
      </x:c>
      <x:c r="I12" s="3" t="str">
        <x:v>simulated-facilities-team</x:v>
      </x:c>
      <x:c r="J12" s="3" t="str">
        <x:v>monthly</x:v>
      </x:c>
      <x:c r="K12" s="3" t="str">
        <x:v>synthetic-log</x:v>
      </x:c>
      <x:c r="L12" s="3" t="str">
        <x:v>not-established</x:v>
      </x:c>
      <x:c r="M12" s="11" t="n">
        <x:v>1</x:v>
      </x:c>
      <x:c r="N12" s="3" t="str">
        <x:v>documented-consumption-or-leakage</x:v>
      </x:c>
      <x:c r="O12" s="3" t="str">
        <x:v>True</x:v>
      </x:c>
    </x:row>
    <x:row r="13" ht="72" customHeight="1">
      <x:c r="A13" s="10" t="n">
        <x:v>2024</x:v>
      </x:c>
      <x:c r="B13" s="10" t="n">
        <x:v>9</x:v>
      </x:c>
      <x:c r="C13" s="3" t="str">
        <x:v>boiler</x:v>
      </x:c>
      <x:c r="D13" s="12" t="n">
        <x:v>990</x:v>
      </x:c>
      <x:c r="E13" s="3" t="str">
        <x:v>meter ** 3</x:v>
      </x:c>
      <x:c r="F13" s="3" t="str">
        <x:v>recorded</x:v>
      </x:c>
      <x:c r="G13" s="3" t="str">
        <x:v>2024-boiler-09</x:v>
      </x:c>
      <x:c r="H13" s="3" t="str">
        <x:v>e58b9151d590982ad50976c1416cabe2d632cc59730b88326c020d722f42169c</x:v>
      </x:c>
      <x:c r="I13" s="3" t="str">
        <x:v>simulated-facilities-team</x:v>
      </x:c>
      <x:c r="J13" s="3" t="str">
        <x:v>monthly</x:v>
      </x:c>
      <x:c r="K13" s="3" t="str">
        <x:v>synthetic-log</x:v>
      </x:c>
      <x:c r="L13" s="3" t="str">
        <x:v>not-established</x:v>
      </x:c>
      <x:c r="M13" s="11" t="n">
        <x:v>1</x:v>
      </x:c>
      <x:c r="N13" s="3" t="str">
        <x:v>documented-consumption-or-leakage</x:v>
      </x:c>
      <x:c r="O13" s="3" t="str">
        <x:v>True</x:v>
      </x:c>
    </x:row>
    <x:row r="14" ht="72" customHeight="1">
      <x:c r="A14" s="10" t="n">
        <x:v>2024</x:v>
      </x:c>
      <x:c r="B14" s="10" t="n">
        <x:v>10</x:v>
      </x:c>
      <x:c r="C14" s="3" t="str">
        <x:v>boiler</x:v>
      </x:c>
      <x:c r="D14" s="12" t="n">
        <x:v>1000</x:v>
      </x:c>
      <x:c r="E14" s="3" t="str">
        <x:v>meter ** 3</x:v>
      </x:c>
      <x:c r="F14" s="3" t="str">
        <x:v>recorded</x:v>
      </x:c>
      <x:c r="G14" s="3" t="str">
        <x:v>2024-boiler-10</x:v>
      </x:c>
      <x:c r="H14" s="3" t="str">
        <x:v>41a48f674fa6fbb9361232dcfba9350bc69ece4e2c0e427af631de494072e29d</x:v>
      </x:c>
      <x:c r="I14" s="3" t="str">
        <x:v>simulated-facilities-team</x:v>
      </x:c>
      <x:c r="J14" s="3" t="str">
        <x:v>monthly</x:v>
      </x:c>
      <x:c r="K14" s="3" t="str">
        <x:v>synthetic-log</x:v>
      </x:c>
      <x:c r="L14" s="3" t="str">
        <x:v>not-established</x:v>
      </x:c>
      <x:c r="M14" s="11" t="n">
        <x:v>1</x:v>
      </x:c>
      <x:c r="N14" s="3" t="str">
        <x:v>documented-consumption-or-leakage</x:v>
      </x:c>
      <x:c r="O14" s="3" t="str">
        <x:v>True</x:v>
      </x:c>
    </x:row>
    <x:row r="15" ht="72" customHeight="1">
      <x:c r="A15" s="10" t="n">
        <x:v>2024</x:v>
      </x:c>
      <x:c r="B15" s="10" t="n">
        <x:v>11</x:v>
      </x:c>
      <x:c r="C15" s="3" t="str">
        <x:v>boiler</x:v>
      </x:c>
      <x:c r="D15" s="12" t="n">
        <x:v>1010</x:v>
      </x:c>
      <x:c r="E15" s="3" t="str">
        <x:v>meter ** 3</x:v>
      </x:c>
      <x:c r="F15" s="3" t="str">
        <x:v>recorded</x:v>
      </x:c>
      <x:c r="G15" s="3" t="str">
        <x:v>2024-boiler-11</x:v>
      </x:c>
      <x:c r="H15" s="3" t="str">
        <x:v>ca694a30b2c2f51420883e4c6500bc03d6a05e73cdd6751708f284d0113608c3</x:v>
      </x:c>
      <x:c r="I15" s="3" t="str">
        <x:v>simulated-facilities-team</x:v>
      </x:c>
      <x:c r="J15" s="3" t="str">
        <x:v>monthly</x:v>
      </x:c>
      <x:c r="K15" s="3" t="str">
        <x:v>synthetic-log</x:v>
      </x:c>
      <x:c r="L15" s="3" t="str">
        <x:v>not-established</x:v>
      </x:c>
      <x:c r="M15" s="11" t="n">
        <x:v>1</x:v>
      </x:c>
      <x:c r="N15" s="3" t="str">
        <x:v>documented-consumption-or-leakage</x:v>
      </x:c>
      <x:c r="O15" s="3" t="str">
        <x:v>True</x:v>
      </x:c>
    </x:row>
    <x:row r="16" ht="72" customHeight="1">
      <x:c r="A16" s="10" t="n">
        <x:v>2024</x:v>
      </x:c>
      <x:c r="B16" s="10" t="n">
        <x:v>12</x:v>
      </x:c>
      <x:c r="C16" s="3" t="str">
        <x:v>boiler</x:v>
      </x:c>
      <x:c r="D16" s="12" t="n">
        <x:v>1020</x:v>
      </x:c>
      <x:c r="E16" s="3" t="str">
        <x:v>meter ** 3</x:v>
      </x:c>
      <x:c r="F16" s="3" t="str">
        <x:v>recorded</x:v>
      </x:c>
      <x:c r="G16" s="3" t="str">
        <x:v>2024-boiler-12</x:v>
      </x:c>
      <x:c r="H16" s="3" t="str">
        <x:v>74ec31cd31e9edf75d29425c5beb45098d03bb6c084892e787c0f2f4079c2ae5</x:v>
      </x:c>
      <x:c r="I16" s="3" t="str">
        <x:v>simulated-facilities-team</x:v>
      </x:c>
      <x:c r="J16" s="3" t="str">
        <x:v>monthly</x:v>
      </x:c>
      <x:c r="K16" s="3" t="str">
        <x:v>synthetic-log</x:v>
      </x:c>
      <x:c r="L16" s="3" t="str">
        <x:v>not-established</x:v>
      </x:c>
      <x:c r="M16" s="11" t="n">
        <x:v>1</x:v>
      </x:c>
      <x:c r="N16" s="3" t="str">
        <x:v>documented-consumption-or-leakage</x:v>
      </x:c>
      <x:c r="O16" s="3" t="str">
        <x:v>True</x:v>
      </x:c>
    </x:row>
    <x:row r="17" ht="72" customHeight="1">
      <x:c r="A17" s="10" t="n">
        <x:v>2024</x:v>
      </x:c>
      <x:c r="B17" s="10" t="n">
        <x:v>1</x:v>
      </x:c>
      <x:c r="C17" s="3" t="str">
        <x:v>generator</x:v>
      </x:c>
      <x:c r="D17" s="12" t="n">
        <x:v>36</x:v>
      </x:c>
      <x:c r="E17" s="3" t="str">
        <x:v>liter</x:v>
      </x:c>
      <x:c r="F17" s="3" t="str">
        <x:v>recorded</x:v>
      </x:c>
      <x:c r="G17" s="3" t="str">
        <x:v>2024-generator-01</x:v>
      </x:c>
      <x:c r="H17" s="3" t="str">
        <x:v>f69f6eb2694e4c070b3bf44bab10d88d8b3feff899bae6e0b99e31a8bc454b5e</x:v>
      </x:c>
      <x:c r="I17" s="3" t="str">
        <x:v>simulated-facilities-team</x:v>
      </x:c>
      <x:c r="J17" s="3" t="str">
        <x:v>monthly</x:v>
      </x:c>
      <x:c r="K17" s="3" t="str">
        <x:v>synthetic-log</x:v>
      </x:c>
      <x:c r="L17" s="3" t="str">
        <x:v>not-established</x:v>
      </x:c>
      <x:c r="M17" s="11" t="n">
        <x:v>1</x:v>
      </x:c>
      <x:c r="N17" s="3" t="str">
        <x:v>documented-consumption-or-leakage</x:v>
      </x:c>
      <x:c r="O17" s="3" t="str">
        <x:v>True</x:v>
      </x:c>
    </x:row>
    <x:row r="18" ht="72" customHeight="1">
      <x:c r="A18" s="10" t="n">
        <x:v>2024</x:v>
      </x:c>
      <x:c r="B18" s="10" t="n">
        <x:v>2</x:v>
      </x:c>
      <x:c r="C18" s="3" t="str">
        <x:v>generator</x:v>
      </x:c>
      <x:c r="D18" s="12" t="n">
        <x:v>37</x:v>
      </x:c>
      <x:c r="E18" s="3" t="str">
        <x:v>liter</x:v>
      </x:c>
      <x:c r="F18" s="3" t="str">
        <x:v>recorded</x:v>
      </x:c>
      <x:c r="G18" s="3" t="str">
        <x:v>2024-generator-02</x:v>
      </x:c>
      <x:c r="H18" s="3" t="str">
        <x:v>fac45df06af4707068e7e936184b4a7bf3a8c4827808c6307b88323d7a821df6</x:v>
      </x:c>
      <x:c r="I18" s="3" t="str">
        <x:v>simulated-facilities-team</x:v>
      </x:c>
      <x:c r="J18" s="3" t="str">
        <x:v>monthly</x:v>
      </x:c>
      <x:c r="K18" s="3" t="str">
        <x:v>synthetic-log</x:v>
      </x:c>
      <x:c r="L18" s="3" t="str">
        <x:v>not-established</x:v>
      </x:c>
      <x:c r="M18" s="11" t="n">
        <x:v>1</x:v>
      </x:c>
      <x:c r="N18" s="3" t="str">
        <x:v>documented-consumption-or-leakage</x:v>
      </x:c>
      <x:c r="O18" s="3" t="str">
        <x:v>True</x:v>
      </x:c>
    </x:row>
    <x:row r="19" ht="72" customHeight="1">
      <x:c r="A19" s="10" t="n">
        <x:v>2024</x:v>
      </x:c>
      <x:c r="B19" s="10" t="n">
        <x:v>3</x:v>
      </x:c>
      <x:c r="C19" s="3" t="str">
        <x:v>generator</x:v>
      </x:c>
      <x:c r="D19" s="12" t="n">
        <x:v>38</x:v>
      </x:c>
      <x:c r="E19" s="3" t="str">
        <x:v>liter</x:v>
      </x:c>
      <x:c r="F19" s="3" t="str">
        <x:v>recorded</x:v>
      </x:c>
      <x:c r="G19" s="3" t="str">
        <x:v>2024-generator-03</x:v>
      </x:c>
      <x:c r="H19" s="3" t="str">
        <x:v>78a8fc881223a1885cb300c5a3377ac966f416d2b92db8072d6d47ad18da03f5</x:v>
      </x:c>
      <x:c r="I19" s="3" t="str">
        <x:v>simulated-facilities-team</x:v>
      </x:c>
      <x:c r="J19" s="3" t="str">
        <x:v>monthly</x:v>
      </x:c>
      <x:c r="K19" s="3" t="str">
        <x:v>synthetic-log</x:v>
      </x:c>
      <x:c r="L19" s="3" t="str">
        <x:v>not-established</x:v>
      </x:c>
      <x:c r="M19" s="11" t="n">
        <x:v>1</x:v>
      </x:c>
      <x:c r="N19" s="3" t="str">
        <x:v>documented-consumption-or-leakage</x:v>
      </x:c>
      <x:c r="O19" s="3" t="str">
        <x:v>True</x:v>
      </x:c>
    </x:row>
    <x:row r="20" ht="72" customHeight="1">
      <x:c r="A20" s="10" t="n">
        <x:v>2024</x:v>
      </x:c>
      <x:c r="B20" s="10" t="n">
        <x:v>4</x:v>
      </x:c>
      <x:c r="C20" s="3" t="str">
        <x:v>generator</x:v>
      </x:c>
      <x:c r="D20" s="12" t="n">
        <x:v>39</x:v>
      </x:c>
      <x:c r="E20" s="3" t="str">
        <x:v>liter</x:v>
      </x:c>
      <x:c r="F20" s="3" t="str">
        <x:v>recorded</x:v>
      </x:c>
      <x:c r="G20" s="3" t="str">
        <x:v>2024-generator-04</x:v>
      </x:c>
      <x:c r="H20" s="3" t="str">
        <x:v>de64212752c0fe831cfea7d2def6beaf4375217973d346ee0be4e195328a8515</x:v>
      </x:c>
      <x:c r="I20" s="3" t="str">
        <x:v>simulated-facilities-team</x:v>
      </x:c>
      <x:c r="J20" s="3" t="str">
        <x:v>monthly</x:v>
      </x:c>
      <x:c r="K20" s="3" t="str">
        <x:v>synthetic-log</x:v>
      </x:c>
      <x:c r="L20" s="3" t="str">
        <x:v>not-established</x:v>
      </x:c>
      <x:c r="M20" s="11" t="n">
        <x:v>1</x:v>
      </x:c>
      <x:c r="N20" s="3" t="str">
        <x:v>documented-consumption-or-leakage</x:v>
      </x:c>
      <x:c r="O20" s="3" t="str">
        <x:v>True</x:v>
      </x:c>
    </x:row>
    <x:row r="21" ht="72" customHeight="1">
      <x:c r="A21" s="10" t="n">
        <x:v>2024</x:v>
      </x:c>
      <x:c r="B21" s="10" t="n">
        <x:v>5</x:v>
      </x:c>
      <x:c r="C21" s="3" t="str">
        <x:v>generator</x:v>
      </x:c>
      <x:c r="D21" s="12" t="n">
        <x:v>40</x:v>
      </x:c>
      <x:c r="E21" s="3" t="str">
        <x:v>liter</x:v>
      </x:c>
      <x:c r="F21" s="3" t="str">
        <x:v>recorded</x:v>
      </x:c>
      <x:c r="G21" s="3" t="str">
        <x:v>2024-generator-05</x:v>
      </x:c>
      <x:c r="H21" s="3" t="str">
        <x:v>2135754e5081e7da451c0bd192820f46ab7319e11f1cbfb203431a3c1bcaeb29</x:v>
      </x:c>
      <x:c r="I21" s="3" t="str">
        <x:v>simulated-facilities-team</x:v>
      </x:c>
      <x:c r="J21" s="3" t="str">
        <x:v>monthly</x:v>
      </x:c>
      <x:c r="K21" s="3" t="str">
        <x:v>synthetic-log</x:v>
      </x:c>
      <x:c r="L21" s="3" t="str">
        <x:v>not-established</x:v>
      </x:c>
      <x:c r="M21" s="11" t="n">
        <x:v>1</x:v>
      </x:c>
      <x:c r="N21" s="3" t="str">
        <x:v>documented-consumption-or-leakage</x:v>
      </x:c>
      <x:c r="O21" s="3" t="str">
        <x:v>True</x:v>
      </x:c>
    </x:row>
    <x:row r="22" ht="72" customHeight="1">
      <x:c r="A22" s="10" t="n">
        <x:v>2024</x:v>
      </x:c>
      <x:c r="B22" s="10" t="n">
        <x:v>6</x:v>
      </x:c>
      <x:c r="C22" s="3" t="str">
        <x:v>generator</x:v>
      </x:c>
      <x:c r="D22" s="12" t="n">
        <x:v>41</x:v>
      </x:c>
      <x:c r="E22" s="3" t="str">
        <x:v>liter</x:v>
      </x:c>
      <x:c r="F22" s="3" t="str">
        <x:v>recorded</x:v>
      </x:c>
      <x:c r="G22" s="3" t="str">
        <x:v>2024-generator-06</x:v>
      </x:c>
      <x:c r="H22" s="3" t="str">
        <x:v>4115213a79b2fb5eed211248c0f279790c0ed338269269c6cacefff1d7978dcc</x:v>
      </x:c>
      <x:c r="I22" s="3" t="str">
        <x:v>simulated-facilities-team</x:v>
      </x:c>
      <x:c r="J22" s="3" t="str">
        <x:v>monthly</x:v>
      </x:c>
      <x:c r="K22" s="3" t="str">
        <x:v>synthetic-log</x:v>
      </x:c>
      <x:c r="L22" s="3" t="str">
        <x:v>not-established</x:v>
      </x:c>
      <x:c r="M22" s="11" t="n">
        <x:v>1</x:v>
      </x:c>
      <x:c r="N22" s="3" t="str">
        <x:v>documented-consumption-or-leakage</x:v>
      </x:c>
      <x:c r="O22" s="3" t="str">
        <x:v>True</x:v>
      </x:c>
    </x:row>
    <x:row r="23" ht="72" customHeight="1">
      <x:c r="A23" s="10" t="n">
        <x:v>2024</x:v>
      </x:c>
      <x:c r="B23" s="10" t="n">
        <x:v>7</x:v>
      </x:c>
      <x:c r="C23" s="3" t="str">
        <x:v>generator</x:v>
      </x:c>
      <x:c r="D23" s="12" t="n">
        <x:v>42</x:v>
      </x:c>
      <x:c r="E23" s="3" t="str">
        <x:v>liter</x:v>
      </x:c>
      <x:c r="F23" s="3" t="str">
        <x:v>recorded</x:v>
      </x:c>
      <x:c r="G23" s="3" t="str">
        <x:v>2024-generator-07</x:v>
      </x:c>
      <x:c r="H23" s="3" t="str">
        <x:v>494d14ab4815d0c177b0ef51ecb69b0152fd780674d3ed3f77218409a9bd3ccb</x:v>
      </x:c>
      <x:c r="I23" s="3" t="str">
        <x:v>simulated-facilities-team</x:v>
      </x:c>
      <x:c r="J23" s="3" t="str">
        <x:v>monthly</x:v>
      </x:c>
      <x:c r="K23" s="3" t="str">
        <x:v>synthetic-log</x:v>
      </x:c>
      <x:c r="L23" s="3" t="str">
        <x:v>not-established</x:v>
      </x:c>
      <x:c r="M23" s="11" t="n">
        <x:v>1</x:v>
      </x:c>
      <x:c r="N23" s="3" t="str">
        <x:v>documented-consumption-or-leakage</x:v>
      </x:c>
      <x:c r="O23" s="3" t="str">
        <x:v>True</x:v>
      </x:c>
    </x:row>
    <x:row r="24" ht="72" customHeight="1">
      <x:c r="A24" s="10" t="n">
        <x:v>2024</x:v>
      </x:c>
      <x:c r="B24" s="10" t="n">
        <x:v>8</x:v>
      </x:c>
      <x:c r="C24" s="3" t="str">
        <x:v>generator</x:v>
      </x:c>
      <x:c r="D24" s="12" t="n">
        <x:v>43</x:v>
      </x:c>
      <x:c r="E24" s="3" t="str">
        <x:v>liter</x:v>
      </x:c>
      <x:c r="F24" s="3" t="str">
        <x:v>recorded</x:v>
      </x:c>
      <x:c r="G24" s="3" t="str">
        <x:v>2024-generator-08</x:v>
      </x:c>
      <x:c r="H24" s="3" t="str">
        <x:v>c97a370ab87e344cc455001024804f9ba5391f71a1012f5db70b387dc257358e</x:v>
      </x:c>
      <x:c r="I24" s="3" t="str">
        <x:v>simulated-facilities-team</x:v>
      </x:c>
      <x:c r="J24" s="3" t="str">
        <x:v>monthly</x:v>
      </x:c>
      <x:c r="K24" s="3" t="str">
        <x:v>synthetic-log</x:v>
      </x:c>
      <x:c r="L24" s="3" t="str">
        <x:v>not-established</x:v>
      </x:c>
      <x:c r="M24" s="11" t="n">
        <x:v>1</x:v>
      </x:c>
      <x:c r="N24" s="3" t="str">
        <x:v>documented-consumption-or-leakage</x:v>
      </x:c>
      <x:c r="O24" s="3" t="str">
        <x:v>True</x:v>
      </x:c>
    </x:row>
    <x:row r="25" ht="72" customHeight="1">
      <x:c r="A25" s="10" t="n">
        <x:v>2024</x:v>
      </x:c>
      <x:c r="B25" s="10" t="n">
        <x:v>9</x:v>
      </x:c>
      <x:c r="C25" s="3" t="str">
        <x:v>generator</x:v>
      </x:c>
      <x:c r="D25" s="12" t="n">
        <x:v>44</x:v>
      </x:c>
      <x:c r="E25" s="3" t="str">
        <x:v>liter</x:v>
      </x:c>
      <x:c r="F25" s="3" t="str">
        <x:v>recorded</x:v>
      </x:c>
      <x:c r="G25" s="3" t="str">
        <x:v>2024-generator-09</x:v>
      </x:c>
      <x:c r="H25" s="3" t="str">
        <x:v>d0ecf89c5bd4264789ceeb37da4e3f3248ba0241cfac4ab4c282184dd27a2a1a</x:v>
      </x:c>
      <x:c r="I25" s="3" t="str">
        <x:v>simulated-facilities-team</x:v>
      </x:c>
      <x:c r="J25" s="3" t="str">
        <x:v>monthly</x:v>
      </x:c>
      <x:c r="K25" s="3" t="str">
        <x:v>synthetic-log</x:v>
      </x:c>
      <x:c r="L25" s="3" t="str">
        <x:v>not-established</x:v>
      </x:c>
      <x:c r="M25" s="11" t="n">
        <x:v>1</x:v>
      </x:c>
      <x:c r="N25" s="3" t="str">
        <x:v>documented-consumption-or-leakage</x:v>
      </x:c>
      <x:c r="O25" s="3" t="str">
        <x:v>True</x:v>
      </x:c>
    </x:row>
    <x:row r="26" ht="72" customHeight="1">
      <x:c r="A26" s="10" t="n">
        <x:v>2024</x:v>
      </x:c>
      <x:c r="B26" s="10" t="n">
        <x:v>10</x:v>
      </x:c>
      <x:c r="C26" s="3" t="str">
        <x:v>generator</x:v>
      </x:c>
      <x:c r="D26" s="12" t="n">
        <x:v>45</x:v>
      </x:c>
      <x:c r="E26" s="3" t="str">
        <x:v>liter</x:v>
      </x:c>
      <x:c r="F26" s="3" t="str">
        <x:v>recorded</x:v>
      </x:c>
      <x:c r="G26" s="3" t="str">
        <x:v>2024-generator-10</x:v>
      </x:c>
      <x:c r="H26" s="3" t="str">
        <x:v>9ae77d2d39aa6651bb84a4699d8ca2696df1f0d757ee2c1edc9b2c1be3c472a4</x:v>
      </x:c>
      <x:c r="I26" s="3" t="str">
        <x:v>simulated-facilities-team</x:v>
      </x:c>
      <x:c r="J26" s="3" t="str">
        <x:v>monthly</x:v>
      </x:c>
      <x:c r="K26" s="3" t="str">
        <x:v>synthetic-log</x:v>
      </x:c>
      <x:c r="L26" s="3" t="str">
        <x:v>not-established</x:v>
      </x:c>
      <x:c r="M26" s="11" t="n">
        <x:v>1</x:v>
      </x:c>
      <x:c r="N26" s="3" t="str">
        <x:v>documented-consumption-or-leakage</x:v>
      </x:c>
      <x:c r="O26" s="3" t="str">
        <x:v>True</x:v>
      </x:c>
    </x:row>
    <x:row r="27" ht="72" customHeight="1">
      <x:c r="A27" s="10" t="n">
        <x:v>2024</x:v>
      </x:c>
      <x:c r="B27" s="10" t="n">
        <x:v>11</x:v>
      </x:c>
      <x:c r="C27" s="3" t="str">
        <x:v>generator</x:v>
      </x:c>
      <x:c r="D27" s="12" t="n">
        <x:v>46</x:v>
      </x:c>
      <x:c r="E27" s="3" t="str">
        <x:v>liter</x:v>
      </x:c>
      <x:c r="F27" s="3" t="str">
        <x:v>recorded</x:v>
      </x:c>
      <x:c r="G27" s="3" t="str">
        <x:v>2024-generator-11</x:v>
      </x:c>
      <x:c r="H27" s="3" t="str">
        <x:v>df9a28cd74fee53063fcacf2d37600bd624698feac6da014c81fcb2e39f82ff5</x:v>
      </x:c>
      <x:c r="I27" s="3" t="str">
        <x:v>simulated-facilities-team</x:v>
      </x:c>
      <x:c r="J27" s="3" t="str">
        <x:v>monthly</x:v>
      </x:c>
      <x:c r="K27" s="3" t="str">
        <x:v>synthetic-log</x:v>
      </x:c>
      <x:c r="L27" s="3" t="str">
        <x:v>not-established</x:v>
      </x:c>
      <x:c r="M27" s="11" t="n">
        <x:v>1</x:v>
      </x:c>
      <x:c r="N27" s="3" t="str">
        <x:v>documented-consumption-or-leakage</x:v>
      </x:c>
      <x:c r="O27" s="3" t="str">
        <x:v>True</x:v>
      </x:c>
    </x:row>
    <x:row r="28" ht="72" customHeight="1">
      <x:c r="A28" s="10" t="n">
        <x:v>2024</x:v>
      </x:c>
      <x:c r="B28" s="10" t="n">
        <x:v>12</x:v>
      </x:c>
      <x:c r="C28" s="3" t="str">
        <x:v>generator</x:v>
      </x:c>
      <x:c r="D28" s="12" t="n">
        <x:v>47</x:v>
      </x:c>
      <x:c r="E28" s="3" t="str">
        <x:v>liter</x:v>
      </x:c>
      <x:c r="F28" s="3" t="str">
        <x:v>recorded</x:v>
      </x:c>
      <x:c r="G28" s="3" t="str">
        <x:v>2024-generator-12</x:v>
      </x:c>
      <x:c r="H28" s="3" t="str">
        <x:v>61755b5055f80c2d3069bf7df75634e1ece4156fdb54ef0eb97a90722815c5cd</x:v>
      </x:c>
      <x:c r="I28" s="3" t="str">
        <x:v>simulated-facilities-team</x:v>
      </x:c>
      <x:c r="J28" s="3" t="str">
        <x:v>monthly</x:v>
      </x:c>
      <x:c r="K28" s="3" t="str">
        <x:v>synthetic-log</x:v>
      </x:c>
      <x:c r="L28" s="3" t="str">
        <x:v>not-established</x:v>
      </x:c>
      <x:c r="M28" s="11" t="n">
        <x:v>1</x:v>
      </x:c>
      <x:c r="N28" s="3" t="str">
        <x:v>documented-consumption-or-leakage</x:v>
      </x:c>
      <x:c r="O28" s="3" t="str">
        <x:v>True</x:v>
      </x:c>
    </x:row>
    <x:row r="29" ht="72" customHeight="1">
      <x:c r="A29" s="10" t="n">
        <x:v>2024</x:v>
      </x:c>
      <x:c r="B29" s="10" t="n">
        <x:v>1</x:v>
      </x:c>
      <x:c r="C29" s="3" t="str">
        <x:v>new-generator</x:v>
      </x:c>
      <x:c r="D29" s="12" t="n">
        <x:v>0</x:v>
      </x:c>
      <x:c r="E29" s="3" t="str">
        <x:v>liter</x:v>
      </x:c>
      <x:c r="F29" s="3" t="str">
        <x:v>not-operating</x:v>
      </x:c>
      <x:c r="G29" s="3" t="str">
        <x:v>2024-new-generator-01</x:v>
      </x:c>
      <x:c r="H29" s="3" t="str">
        <x:v>9c3f0bd302eeebff48147f0482b3be654521640c3aad6c4dfed844d55f9bf55c</x:v>
      </x:c>
      <x:c r="I29" s="3" t="str">
        <x:v>simulated-facilities-team</x:v>
      </x:c>
      <x:c r="J29" s="3" t="str">
        <x:v>monthly</x:v>
      </x:c>
      <x:c r="K29" s="3" t="str">
        <x:v>synthetic-log</x:v>
      </x:c>
      <x:c r="L29" s="3" t="str">
        <x:v>not-established</x:v>
      </x:c>
      <x:c r="M29" s="11" t="n">
        <x:v>1</x:v>
      </x:c>
      <x:c r="N29" s="3" t="str">
        <x:v>documented-consumption-or-leakage</x:v>
      </x:c>
      <x:c r="O29" s="3" t="str">
        <x:v>True</x:v>
      </x:c>
    </x:row>
    <x:row r="30" ht="72" customHeight="1">
      <x:c r="A30" s="10" t="n">
        <x:v>2024</x:v>
      </x:c>
      <x:c r="B30" s="10" t="n">
        <x:v>2</x:v>
      </x:c>
      <x:c r="C30" s="3" t="str">
        <x:v>new-generator</x:v>
      </x:c>
      <x:c r="D30" s="12" t="n">
        <x:v>0</x:v>
      </x:c>
      <x:c r="E30" s="3" t="str">
        <x:v>liter</x:v>
      </x:c>
      <x:c r="F30" s="3" t="str">
        <x:v>not-operating</x:v>
      </x:c>
      <x:c r="G30" s="3" t="str">
        <x:v>2024-new-generator-02</x:v>
      </x:c>
      <x:c r="H30" s="3" t="str">
        <x:v>d541768f7e8171fed52c6beefa91f76e4fa3b1e4662a3f5d05fbe5005df6c258</x:v>
      </x:c>
      <x:c r="I30" s="3" t="str">
        <x:v>simulated-facilities-team</x:v>
      </x:c>
      <x:c r="J30" s="3" t="str">
        <x:v>monthly</x:v>
      </x:c>
      <x:c r="K30" s="3" t="str">
        <x:v>synthetic-log</x:v>
      </x:c>
      <x:c r="L30" s="3" t="str">
        <x:v>not-established</x:v>
      </x:c>
      <x:c r="M30" s="11" t="n">
        <x:v>1</x:v>
      </x:c>
      <x:c r="N30" s="3" t="str">
        <x:v>documented-consumption-or-leakage</x:v>
      </x:c>
      <x:c r="O30" s="3" t="str">
        <x:v>True</x:v>
      </x:c>
    </x:row>
    <x:row r="31" ht="72" customHeight="1">
      <x:c r="A31" s="10" t="n">
        <x:v>2024</x:v>
      </x:c>
      <x:c r="B31" s="10" t="n">
        <x:v>3</x:v>
      </x:c>
      <x:c r="C31" s="3" t="str">
        <x:v>new-generator</x:v>
      </x:c>
      <x:c r="D31" s="12" t="n">
        <x:v>0</x:v>
      </x:c>
      <x:c r="E31" s="3" t="str">
        <x:v>liter</x:v>
      </x:c>
      <x:c r="F31" s="3" t="str">
        <x:v>not-operating</x:v>
      </x:c>
      <x:c r="G31" s="3" t="str">
        <x:v>2024-new-generator-03</x:v>
      </x:c>
      <x:c r="H31" s="3" t="str">
        <x:v>793cc3e1e1b0e37f772d25a93822e9861e5376b8b30b768ed27fccf8b53064c4</x:v>
      </x:c>
      <x:c r="I31" s="3" t="str">
        <x:v>simulated-facilities-team</x:v>
      </x:c>
      <x:c r="J31" s="3" t="str">
        <x:v>monthly</x:v>
      </x:c>
      <x:c r="K31" s="3" t="str">
        <x:v>synthetic-log</x:v>
      </x:c>
      <x:c r="L31" s="3" t="str">
        <x:v>not-established</x:v>
      </x:c>
      <x:c r="M31" s="11" t="n">
        <x:v>1</x:v>
      </x:c>
      <x:c r="N31" s="3" t="str">
        <x:v>documented-consumption-or-leakage</x:v>
      </x:c>
      <x:c r="O31" s="3" t="str">
        <x:v>True</x:v>
      </x:c>
    </x:row>
    <x:row r="32" ht="72" customHeight="1">
      <x:c r="A32" s="10" t="n">
        <x:v>2024</x:v>
      </x:c>
      <x:c r="B32" s="10" t="n">
        <x:v>4</x:v>
      </x:c>
      <x:c r="C32" s="3" t="str">
        <x:v>new-generator</x:v>
      </x:c>
      <x:c r="D32" s="12" t="n">
        <x:v>0</x:v>
      </x:c>
      <x:c r="E32" s="3" t="str">
        <x:v>liter</x:v>
      </x:c>
      <x:c r="F32" s="3" t="str">
        <x:v>not-operating</x:v>
      </x:c>
      <x:c r="G32" s="3" t="str">
        <x:v>2024-new-generator-04</x:v>
      </x:c>
      <x:c r="H32" s="3" t="str">
        <x:v>2f2d4aabd7c1b82b634c0262a57e196edfe85c8ea27df88fa79d55c66807bda7</x:v>
      </x:c>
      <x:c r="I32" s="3" t="str">
        <x:v>simulated-facilities-team</x:v>
      </x:c>
      <x:c r="J32" s="3" t="str">
        <x:v>monthly</x:v>
      </x:c>
      <x:c r="K32" s="3" t="str">
        <x:v>synthetic-log</x:v>
      </x:c>
      <x:c r="L32" s="3" t="str">
        <x:v>not-established</x:v>
      </x:c>
      <x:c r="M32" s="11" t="n">
        <x:v>1</x:v>
      </x:c>
      <x:c r="N32" s="3" t="str">
        <x:v>documented-consumption-or-leakage</x:v>
      </x:c>
      <x:c r="O32" s="3" t="str">
        <x:v>True</x:v>
      </x:c>
    </x:row>
    <x:row r="33" ht="72" customHeight="1">
      <x:c r="A33" s="10" t="n">
        <x:v>2024</x:v>
      </x:c>
      <x:c r="B33" s="10" t="n">
        <x:v>5</x:v>
      </x:c>
      <x:c r="C33" s="3" t="str">
        <x:v>new-generator</x:v>
      </x:c>
      <x:c r="D33" s="12" t="n">
        <x:v>0</x:v>
      </x:c>
      <x:c r="E33" s="3" t="str">
        <x:v>liter</x:v>
      </x:c>
      <x:c r="F33" s="3" t="str">
        <x:v>not-operating</x:v>
      </x:c>
      <x:c r="G33" s="3" t="str">
        <x:v>2024-new-generator-05</x:v>
      </x:c>
      <x:c r="H33" s="3" t="str">
        <x:v>be884e48093d57972eec1611d68c9b2d82b839d673adeb311d48eac2602d465d</x:v>
      </x:c>
      <x:c r="I33" s="3" t="str">
        <x:v>simulated-facilities-team</x:v>
      </x:c>
      <x:c r="J33" s="3" t="str">
        <x:v>monthly</x:v>
      </x:c>
      <x:c r="K33" s="3" t="str">
        <x:v>synthetic-log</x:v>
      </x:c>
      <x:c r="L33" s="3" t="str">
        <x:v>not-established</x:v>
      </x:c>
      <x:c r="M33" s="11" t="n">
        <x:v>1</x:v>
      </x:c>
      <x:c r="N33" s="3" t="str">
        <x:v>documented-consumption-or-leakage</x:v>
      </x:c>
      <x:c r="O33" s="3" t="str">
        <x:v>True</x:v>
      </x:c>
    </x:row>
    <x:row r="34" ht="72" customHeight="1">
      <x:c r="A34" s="10" t="n">
        <x:v>2024</x:v>
      </x:c>
      <x:c r="B34" s="10" t="n">
        <x:v>6</x:v>
      </x:c>
      <x:c r="C34" s="3" t="str">
        <x:v>new-generator</x:v>
      </x:c>
      <x:c r="D34" s="12" t="n">
        <x:v>0</x:v>
      </x:c>
      <x:c r="E34" s="3" t="str">
        <x:v>liter</x:v>
      </x:c>
      <x:c r="F34" s="3" t="str">
        <x:v>not-operating</x:v>
      </x:c>
      <x:c r="G34" s="3" t="str">
        <x:v>2024-new-generator-06</x:v>
      </x:c>
      <x:c r="H34" s="3" t="str">
        <x:v>adc5d42f7113b5ff9a54bc22d61aa2a8d20292cf51a3da67bdf74019f4f59f23</x:v>
      </x:c>
      <x:c r="I34" s="3" t="str">
        <x:v>simulated-facilities-team</x:v>
      </x:c>
      <x:c r="J34" s="3" t="str">
        <x:v>monthly</x:v>
      </x:c>
      <x:c r="K34" s="3" t="str">
        <x:v>synthetic-log</x:v>
      </x:c>
      <x:c r="L34" s="3" t="str">
        <x:v>not-established</x:v>
      </x:c>
      <x:c r="M34" s="11" t="n">
        <x:v>1</x:v>
      </x:c>
      <x:c r="N34" s="3" t="str">
        <x:v>documented-consumption-or-leakage</x:v>
      </x:c>
      <x:c r="O34" s="3" t="str">
        <x:v>True</x:v>
      </x:c>
    </x:row>
    <x:row r="35" ht="72" customHeight="1">
      <x:c r="A35" s="10" t="n">
        <x:v>2024</x:v>
      </x:c>
      <x:c r="B35" s="10" t="n">
        <x:v>7</x:v>
      </x:c>
      <x:c r="C35" s="3" t="str">
        <x:v>new-generator</x:v>
      </x:c>
      <x:c r="D35" s="12" t="n">
        <x:v>20</x:v>
      </x:c>
      <x:c r="E35" s="3" t="str">
        <x:v>liter</x:v>
      </x:c>
      <x:c r="F35" s="3" t="str">
        <x:v>recorded</x:v>
      </x:c>
      <x:c r="G35" s="3" t="str">
        <x:v>2024-new-generator-07</x:v>
      </x:c>
      <x:c r="H35" s="3" t="str">
        <x:v>d8de60fe42448218f3f57c3c3a014a7ba5bff50552e10fcbb1db8746b0948d01</x:v>
      </x:c>
      <x:c r="I35" s="3" t="str">
        <x:v>simulated-facilities-team</x:v>
      </x:c>
      <x:c r="J35" s="3" t="str">
        <x:v>monthly</x:v>
      </x:c>
      <x:c r="K35" s="3" t="str">
        <x:v>synthetic-log</x:v>
      </x:c>
      <x:c r="L35" s="3" t="str">
        <x:v>not-established</x:v>
      </x:c>
      <x:c r="M35" s="11" t="n">
        <x:v>1</x:v>
      </x:c>
      <x:c r="N35" s="3" t="str">
        <x:v>documented-consumption-or-leakage</x:v>
      </x:c>
      <x:c r="O35" s="3" t="str">
        <x:v>True</x:v>
      </x:c>
    </x:row>
    <x:row r="36" ht="72" customHeight="1">
      <x:c r="A36" s="10" t="n">
        <x:v>2024</x:v>
      </x:c>
      <x:c r="B36" s="10" t="n">
        <x:v>8</x:v>
      </x:c>
      <x:c r="C36" s="3" t="str">
        <x:v>new-generator</x:v>
      </x:c>
      <x:c r="D36" s="12" t="n">
        <x:v>20</x:v>
      </x:c>
      <x:c r="E36" s="3" t="str">
        <x:v>liter</x:v>
      </x:c>
      <x:c r="F36" s="3" t="str">
        <x:v>recorded</x:v>
      </x:c>
      <x:c r="G36" s="3" t="str">
        <x:v>2024-new-generator-08</x:v>
      </x:c>
      <x:c r="H36" s="3" t="str">
        <x:v>b0fff4b5c70b2cd32b77e90875405410c39b295ddcdaaa6a69ad940087505e42</x:v>
      </x:c>
      <x:c r="I36" s="3" t="str">
        <x:v>simulated-facilities-team</x:v>
      </x:c>
      <x:c r="J36" s="3" t="str">
        <x:v>monthly</x:v>
      </x:c>
      <x:c r="K36" s="3" t="str">
        <x:v>synthetic-log</x:v>
      </x:c>
      <x:c r="L36" s="3" t="str">
        <x:v>not-established</x:v>
      </x:c>
      <x:c r="M36" s="11" t="n">
        <x:v>1</x:v>
      </x:c>
      <x:c r="N36" s="3" t="str">
        <x:v>documented-consumption-or-leakage</x:v>
      </x:c>
      <x:c r="O36" s="3" t="str">
        <x:v>True</x:v>
      </x:c>
    </x:row>
    <x:row r="37" ht="72" customHeight="1">
      <x:c r="A37" s="10" t="n">
        <x:v>2024</x:v>
      </x:c>
      <x:c r="B37" s="10" t="n">
        <x:v>9</x:v>
      </x:c>
      <x:c r="C37" s="3" t="str">
        <x:v>new-generator</x:v>
      </x:c>
      <x:c r="D37" s="12" t="n">
        <x:v>20</x:v>
      </x:c>
      <x:c r="E37" s="3" t="str">
        <x:v>liter</x:v>
      </x:c>
      <x:c r="F37" s="3" t="str">
        <x:v>recorded</x:v>
      </x:c>
      <x:c r="G37" s="3" t="str">
        <x:v>2024-new-generator-09</x:v>
      </x:c>
      <x:c r="H37" s="3" t="str">
        <x:v>2197bf6d65b164b2761f13b8e6c4de31a71f0c5c77900f6372f8a66793e31832</x:v>
      </x:c>
      <x:c r="I37" s="3" t="str">
        <x:v>simulated-facilities-team</x:v>
      </x:c>
      <x:c r="J37" s="3" t="str">
        <x:v>monthly</x:v>
      </x:c>
      <x:c r="K37" s="3" t="str">
        <x:v>synthetic-log</x:v>
      </x:c>
      <x:c r="L37" s="3" t="str">
        <x:v>not-established</x:v>
      </x:c>
      <x:c r="M37" s="11" t="n">
        <x:v>1</x:v>
      </x:c>
      <x:c r="N37" s="3" t="str">
        <x:v>documented-consumption-or-leakage</x:v>
      </x:c>
      <x:c r="O37" s="3" t="str">
        <x:v>True</x:v>
      </x:c>
    </x:row>
    <x:row r="38" ht="72" customHeight="1">
      <x:c r="A38" s="10" t="n">
        <x:v>2024</x:v>
      </x:c>
      <x:c r="B38" s="10" t="n">
        <x:v>10</x:v>
      </x:c>
      <x:c r="C38" s="3" t="str">
        <x:v>new-generator</x:v>
      </x:c>
      <x:c r="D38" s="12" t="n">
        <x:v>20</x:v>
      </x:c>
      <x:c r="E38" s="3" t="str">
        <x:v>liter</x:v>
      </x:c>
      <x:c r="F38" s="3" t="str">
        <x:v>recorded</x:v>
      </x:c>
      <x:c r="G38" s="3" t="str">
        <x:v>2024-new-generator-10</x:v>
      </x:c>
      <x:c r="H38" s="3" t="str">
        <x:v>506214aab267189fab30c9c59d8067544b5b73644642ee0aa7e3875db473ab33</x:v>
      </x:c>
      <x:c r="I38" s="3" t="str">
        <x:v>simulated-facilities-team</x:v>
      </x:c>
      <x:c r="J38" s="3" t="str">
        <x:v>monthly</x:v>
      </x:c>
      <x:c r="K38" s="3" t="str">
        <x:v>synthetic-log</x:v>
      </x:c>
      <x:c r="L38" s="3" t="str">
        <x:v>not-established</x:v>
      </x:c>
      <x:c r="M38" s="11" t="n">
        <x:v>1</x:v>
      </x:c>
      <x:c r="N38" s="3" t="str">
        <x:v>documented-consumption-or-leakage</x:v>
      </x:c>
      <x:c r="O38" s="3" t="str">
        <x:v>True</x:v>
      </x:c>
    </x:row>
    <x:row r="39" ht="72" customHeight="1">
      <x:c r="A39" s="10" t="n">
        <x:v>2024</x:v>
      </x:c>
      <x:c r="B39" s="10" t="n">
        <x:v>11</x:v>
      </x:c>
      <x:c r="C39" s="3" t="str">
        <x:v>new-generator</x:v>
      </x:c>
      <x:c r="D39" s="12" t="n">
        <x:v>20</x:v>
      </x:c>
      <x:c r="E39" s="3" t="str">
        <x:v>liter</x:v>
      </x:c>
      <x:c r="F39" s="3" t="str">
        <x:v>recorded</x:v>
      </x:c>
      <x:c r="G39" s="3" t="str">
        <x:v>2024-new-generator-11</x:v>
      </x:c>
      <x:c r="H39" s="3" t="str">
        <x:v>e35b30e943f1c55c8bc43ab3eb08c63454278e456333b19f905f4eb0d7fd03b4</x:v>
      </x:c>
      <x:c r="I39" s="3" t="str">
        <x:v>simulated-facilities-team</x:v>
      </x:c>
      <x:c r="J39" s="3" t="str">
        <x:v>monthly</x:v>
      </x:c>
      <x:c r="K39" s="3" t="str">
        <x:v>synthetic-log</x:v>
      </x:c>
      <x:c r="L39" s="3" t="str">
        <x:v>not-established</x:v>
      </x:c>
      <x:c r="M39" s="11" t="n">
        <x:v>1</x:v>
      </x:c>
      <x:c r="N39" s="3" t="str">
        <x:v>documented-consumption-or-leakage</x:v>
      </x:c>
      <x:c r="O39" s="3" t="str">
        <x:v>True</x:v>
      </x:c>
    </x:row>
    <x:row r="40" ht="72" customHeight="1">
      <x:c r="A40" s="10" t="n">
        <x:v>2024</x:v>
      </x:c>
      <x:c r="B40" s="10" t="n">
        <x:v>12</x:v>
      </x:c>
      <x:c r="C40" s="3" t="str">
        <x:v>new-generator</x:v>
      </x:c>
      <x:c r="D40" s="12" t="n">
        <x:v>20</x:v>
      </x:c>
      <x:c r="E40" s="3" t="str">
        <x:v>liter</x:v>
      </x:c>
      <x:c r="F40" s="3" t="str">
        <x:v>recorded</x:v>
      </x:c>
      <x:c r="G40" s="3" t="str">
        <x:v>2024-new-generator-12</x:v>
      </x:c>
      <x:c r="H40" s="3" t="str">
        <x:v>8bab316b3525c37bfc57563a0aac74d9b2ef2a1e5eb8694b6fa5c6998d71bf1a</x:v>
      </x:c>
      <x:c r="I40" s="3" t="str">
        <x:v>simulated-facilities-team</x:v>
      </x:c>
      <x:c r="J40" s="3" t="str">
        <x:v>monthly</x:v>
      </x:c>
      <x:c r="K40" s="3" t="str">
        <x:v>synthetic-log</x:v>
      </x:c>
      <x:c r="L40" s="3" t="str">
        <x:v>not-established</x:v>
      </x:c>
      <x:c r="M40" s="11" t="n">
        <x:v>1</x:v>
      </x:c>
      <x:c r="N40" s="3" t="str">
        <x:v>documented-consumption-or-leakage</x:v>
      </x:c>
      <x:c r="O40" s="3" t="str">
        <x:v>True</x:v>
      </x:c>
    </x:row>
    <x:row r="41" ht="72" customHeight="1">
      <x:c r="A41" s="10" t="n">
        <x:v>2024</x:v>
      </x:c>
      <x:c r="B41" s="10" t="n">
        <x:v>1</x:v>
      </x:c>
      <x:c r="C41" s="3" t="str">
        <x:v>cooling</x:v>
      </x:c>
      <x:c r="D41" s="12" t="n">
        <x:v>0</x:v>
      </x:c>
      <x:c r="E41" s="3" t="str">
        <x:v>kg</x:v>
      </x:c>
      <x:c r="F41" s="3" t="str">
        <x:v>recorded</x:v>
      </x:c>
      <x:c r="G41" s="3" t="str">
        <x:v>2024-cooling-01</x:v>
      </x:c>
      <x:c r="H41" s="3" t="str">
        <x:v>2b9126e3b8ecad2c034e04f1c1a2e528fb607ccdeb953eea2840ff61201cbc6a</x:v>
      </x:c>
      <x:c r="I41" s="3" t="str">
        <x:v>simulated-facilities-team</x:v>
      </x:c>
      <x:c r="J41" s="3" t="str">
        <x:v>monthly</x:v>
      </x:c>
      <x:c r="K41" s="3" t="str">
        <x:v>synthetic-log</x:v>
      </x:c>
      <x:c r="L41" s="3" t="str">
        <x:v>not-established</x:v>
      </x:c>
      <x:c r="M41" s="11" t="n">
        <x:v>1</x:v>
      </x:c>
      <x:c r="N41" s="3" t="str">
        <x:v>documented-consumption-or-leakage</x:v>
      </x:c>
      <x:c r="O41" s="3" t="str">
        <x:v>True</x:v>
      </x:c>
    </x:row>
    <x:row r="42" ht="72" customHeight="1">
      <x:c r="A42" s="10" t="n">
        <x:v>2024</x:v>
      </x:c>
      <x:c r="B42" s="10" t="n">
        <x:v>2</x:v>
      </x:c>
      <x:c r="C42" s="3" t="str">
        <x:v>cooling</x:v>
      </x:c>
      <x:c r="D42" s="12" t="n">
        <x:v>0</x:v>
      </x:c>
      <x:c r="E42" s="3" t="str">
        <x:v>kg</x:v>
      </x:c>
      <x:c r="F42" s="3" t="str">
        <x:v>recorded</x:v>
      </x:c>
      <x:c r="G42" s="3" t="str">
        <x:v>2024-cooling-02</x:v>
      </x:c>
      <x:c r="H42" s="3" t="str">
        <x:v>c8ef150caa759a0247e1611b78fd93b50cb92049954d04ab488f67510060716c</x:v>
      </x:c>
      <x:c r="I42" s="3" t="str">
        <x:v>simulated-facilities-team</x:v>
      </x:c>
      <x:c r="J42" s="3" t="str">
        <x:v>monthly</x:v>
      </x:c>
      <x:c r="K42" s="3" t="str">
        <x:v>synthetic-log</x:v>
      </x:c>
      <x:c r="L42" s="3" t="str">
        <x:v>not-established</x:v>
      </x:c>
      <x:c r="M42" s="11" t="n">
        <x:v>1</x:v>
      </x:c>
      <x:c r="N42" s="3" t="str">
        <x:v>documented-consumption-or-leakage</x:v>
      </x:c>
      <x:c r="O42" s="3" t="str">
        <x:v>True</x:v>
      </x:c>
    </x:row>
    <x:row r="43" ht="72" customHeight="1">
      <x:c r="A43" s="10" t="n">
        <x:v>2024</x:v>
      </x:c>
      <x:c r="B43" s="10" t="n">
        <x:v>3</x:v>
      </x:c>
      <x:c r="C43" s="3" t="str">
        <x:v>cooling</x:v>
      </x:c>
      <x:c r="D43" s="12" t="n">
        <x:v>0</x:v>
      </x:c>
      <x:c r="E43" s="3" t="str">
        <x:v>kg</x:v>
      </x:c>
      <x:c r="F43" s="3" t="str">
        <x:v>recorded</x:v>
      </x:c>
      <x:c r="G43" s="3" t="str">
        <x:v>2024-cooling-03</x:v>
      </x:c>
      <x:c r="H43" s="3" t="str">
        <x:v>f168b078d9b8ce4d3f922d65a5ed2e8be54eeb41bfe1dcde4db53b7e6d49eaa0</x:v>
      </x:c>
      <x:c r="I43" s="3" t="str">
        <x:v>simulated-facilities-team</x:v>
      </x:c>
      <x:c r="J43" s="3" t="str">
        <x:v>monthly</x:v>
      </x:c>
      <x:c r="K43" s="3" t="str">
        <x:v>synthetic-log</x:v>
      </x:c>
      <x:c r="L43" s="3" t="str">
        <x:v>not-established</x:v>
      </x:c>
      <x:c r="M43" s="11" t="n">
        <x:v>1</x:v>
      </x:c>
      <x:c r="N43" s="3" t="str">
        <x:v>documented-consumption-or-leakage</x:v>
      </x:c>
      <x:c r="O43" s="3" t="str">
        <x:v>True</x:v>
      </x:c>
    </x:row>
    <x:row r="44" ht="72" customHeight="1">
      <x:c r="A44" s="10" t="n">
        <x:v>2024</x:v>
      </x:c>
      <x:c r="B44" s="10" t="n">
        <x:v>4</x:v>
      </x:c>
      <x:c r="C44" s="3" t="str">
        <x:v>cooling</x:v>
      </x:c>
      <x:c r="D44" s="12" t="n">
        <x:v>0</x:v>
      </x:c>
      <x:c r="E44" s="3" t="str">
        <x:v>kg</x:v>
      </x:c>
      <x:c r="F44" s="3" t="str">
        <x:v>recorded</x:v>
      </x:c>
      <x:c r="G44" s="3" t="str">
        <x:v>2024-cooling-04</x:v>
      </x:c>
      <x:c r="H44" s="3" t="str">
        <x:v>dfa893ddd0ef74459997ce066451cecac004971a118389208a0288d4b958c431</x:v>
      </x:c>
      <x:c r="I44" s="3" t="str">
        <x:v>simulated-facilities-team</x:v>
      </x:c>
      <x:c r="J44" s="3" t="str">
        <x:v>monthly</x:v>
      </x:c>
      <x:c r="K44" s="3" t="str">
        <x:v>synthetic-log</x:v>
      </x:c>
      <x:c r="L44" s="3" t="str">
        <x:v>not-established</x:v>
      </x:c>
      <x:c r="M44" s="11" t="n">
        <x:v>1</x:v>
      </x:c>
      <x:c r="N44" s="3" t="str">
        <x:v>documented-consumption-or-leakage</x:v>
      </x:c>
      <x:c r="O44" s="3" t="str">
        <x:v>True</x:v>
      </x:c>
    </x:row>
    <x:row r="45" ht="72" customHeight="1">
      <x:c r="A45" s="10" t="n">
        <x:v>2024</x:v>
      </x:c>
      <x:c r="B45" s="10" t="n">
        <x:v>5</x:v>
      </x:c>
      <x:c r="C45" s="3" t="str">
        <x:v>cooling</x:v>
      </x:c>
      <x:c r="D45" s="12" t="n">
        <x:v>0</x:v>
      </x:c>
      <x:c r="E45" s="3" t="str">
        <x:v>kg</x:v>
      </x:c>
      <x:c r="F45" s="3" t="str">
        <x:v>recorded</x:v>
      </x:c>
      <x:c r="G45" s="3" t="str">
        <x:v>2024-cooling-05</x:v>
      </x:c>
      <x:c r="H45" s="3" t="str">
        <x:v>b19a0fd51046d6e508b2f4ede95d319dff0a5b5a741e5b3e037fa4830ec7bb5d</x:v>
      </x:c>
      <x:c r="I45" s="3" t="str">
        <x:v>simulated-facilities-team</x:v>
      </x:c>
      <x:c r="J45" s="3" t="str">
        <x:v>monthly</x:v>
      </x:c>
      <x:c r="K45" s="3" t="str">
        <x:v>synthetic-log</x:v>
      </x:c>
      <x:c r="L45" s="3" t="str">
        <x:v>not-established</x:v>
      </x:c>
      <x:c r="M45" s="11" t="n">
        <x:v>1</x:v>
      </x:c>
      <x:c r="N45" s="3" t="str">
        <x:v>documented-consumption-or-leakage</x:v>
      </x:c>
      <x:c r="O45" s="3" t="str">
        <x:v>True</x:v>
      </x:c>
    </x:row>
    <x:row r="46" ht="72" customHeight="1">
      <x:c r="A46" s="10" t="n">
        <x:v>2024</x:v>
      </x:c>
      <x:c r="B46" s="10" t="n">
        <x:v>6</x:v>
      </x:c>
      <x:c r="C46" s="3" t="str">
        <x:v>cooling</x:v>
      </x:c>
      <x:c r="D46" s="12" t="n">
        <x:v>0</x:v>
      </x:c>
      <x:c r="E46" s="3" t="str">
        <x:v>kg</x:v>
      </x:c>
      <x:c r="F46" s="3" t="str">
        <x:v>recorded</x:v>
      </x:c>
      <x:c r="G46" s="3" t="str">
        <x:v>2024-cooling-06</x:v>
      </x:c>
      <x:c r="H46" s="3" t="str">
        <x:v>729c24779e2a2f969faa80a8804d6791afe9dcaef065ef3bb6fd32a86853e69c</x:v>
      </x:c>
      <x:c r="I46" s="3" t="str">
        <x:v>simulated-facilities-team</x:v>
      </x:c>
      <x:c r="J46" s="3" t="str">
        <x:v>monthly</x:v>
      </x:c>
      <x:c r="K46" s="3" t="str">
        <x:v>synthetic-log</x:v>
      </x:c>
      <x:c r="L46" s="3" t="str">
        <x:v>not-established</x:v>
      </x:c>
      <x:c r="M46" s="11" t="n">
        <x:v>1</x:v>
      </x:c>
      <x:c r="N46" s="3" t="str">
        <x:v>documented-consumption-or-leakage</x:v>
      </x:c>
      <x:c r="O46" s="3" t="str">
        <x:v>True</x:v>
      </x:c>
    </x:row>
    <x:row r="47" ht="72" customHeight="1">
      <x:c r="A47" s="10" t="n">
        <x:v>2024</x:v>
      </x:c>
      <x:c r="B47" s="10" t="n">
        <x:v>7</x:v>
      </x:c>
      <x:c r="C47" s="3" t="str">
        <x:v>cooling</x:v>
      </x:c>
      <x:c r="D47" s="12" t="n">
        <x:v>0</x:v>
      </x:c>
      <x:c r="E47" s="3" t="str">
        <x:v>kg</x:v>
      </x:c>
      <x:c r="F47" s="3" t="str">
        <x:v>recorded</x:v>
      </x:c>
      <x:c r="G47" s="3" t="str">
        <x:v>2024-cooling-07</x:v>
      </x:c>
      <x:c r="H47" s="3" t="str">
        <x:v>b6aa285dd3585b0ff137daac16f24e84b920d2fe39c1c562d33e711fbe0492e3</x:v>
      </x:c>
      <x:c r="I47" s="3" t="str">
        <x:v>simulated-facilities-team</x:v>
      </x:c>
      <x:c r="J47" s="3" t="str">
        <x:v>monthly</x:v>
      </x:c>
      <x:c r="K47" s="3" t="str">
        <x:v>synthetic-log</x:v>
      </x:c>
      <x:c r="L47" s="3" t="str">
        <x:v>not-established</x:v>
      </x:c>
      <x:c r="M47" s="11" t="n">
        <x:v>1</x:v>
      </x:c>
      <x:c r="N47" s="3" t="str">
        <x:v>documented-consumption-or-leakage</x:v>
      </x:c>
      <x:c r="O47" s="3" t="str">
        <x:v>True</x:v>
      </x:c>
    </x:row>
    <x:row r="48" ht="72" customHeight="1">
      <x:c r="A48" s="10" t="n">
        <x:v>2024</x:v>
      </x:c>
      <x:c r="B48" s="10" t="n">
        <x:v>8</x:v>
      </x:c>
      <x:c r="C48" s="3" t="str">
        <x:v>cooling</x:v>
      </x:c>
      <x:c r="D48" s="12" t="n">
        <x:v>2</x:v>
      </x:c>
      <x:c r="E48" s="3" t="str">
        <x:v>kg</x:v>
      </x:c>
      <x:c r="F48" s="3" t="str">
        <x:v>recorded</x:v>
      </x:c>
      <x:c r="G48" s="3" t="str">
        <x:v>2024-cooling-08</x:v>
      </x:c>
      <x:c r="H48" s="3" t="str">
        <x:v>37b2950bceca641508f893b1b80607bf2ef83befa835bc56cf0acc19a905e2c4</x:v>
      </x:c>
      <x:c r="I48" s="3" t="str">
        <x:v>simulated-facilities-team</x:v>
      </x:c>
      <x:c r="J48" s="3" t="str">
        <x:v>monthly</x:v>
      </x:c>
      <x:c r="K48" s="3" t="str">
        <x:v>synthetic-log</x:v>
      </x:c>
      <x:c r="L48" s="3" t="str">
        <x:v>not-established</x:v>
      </x:c>
      <x:c r="M48" s="11" t="n">
        <x:v>1</x:v>
      </x:c>
      <x:c r="N48" s="3" t="str">
        <x:v>documented-consumption-or-leakage</x:v>
      </x:c>
      <x:c r="O48" s="3" t="str">
        <x:v>True</x:v>
      </x:c>
    </x:row>
    <x:row r="49" ht="72" customHeight="1">
      <x:c r="A49" s="10" t="n">
        <x:v>2024</x:v>
      </x:c>
      <x:c r="B49" s="10" t="n">
        <x:v>9</x:v>
      </x:c>
      <x:c r="C49" s="3" t="str">
        <x:v>cooling</x:v>
      </x:c>
      <x:c r="D49" s="12" t="n">
        <x:v>0</x:v>
      </x:c>
      <x:c r="E49" s="3" t="str">
        <x:v>kg</x:v>
      </x:c>
      <x:c r="F49" s="3" t="str">
        <x:v>recorded</x:v>
      </x:c>
      <x:c r="G49" s="3" t="str">
        <x:v>2024-cooling-09</x:v>
      </x:c>
      <x:c r="H49" s="3" t="str">
        <x:v>cee565b59451b66bcfc8c8143d53953ee33dcfedd2a00be3419244fa9fbef909</x:v>
      </x:c>
      <x:c r="I49" s="3" t="str">
        <x:v>simulated-facilities-team</x:v>
      </x:c>
      <x:c r="J49" s="3" t="str">
        <x:v>monthly</x:v>
      </x:c>
      <x:c r="K49" s="3" t="str">
        <x:v>synthetic-log</x:v>
      </x:c>
      <x:c r="L49" s="3" t="str">
        <x:v>not-established</x:v>
      </x:c>
      <x:c r="M49" s="11" t="n">
        <x:v>1</x:v>
      </x:c>
      <x:c r="N49" s="3" t="str">
        <x:v>documented-consumption-or-leakage</x:v>
      </x:c>
      <x:c r="O49" s="3" t="str">
        <x:v>True</x:v>
      </x:c>
    </x:row>
    <x:row r="50" ht="72" customHeight="1">
      <x:c r="A50" s="10" t="n">
        <x:v>2024</x:v>
      </x:c>
      <x:c r="B50" s="10" t="n">
        <x:v>10</x:v>
      </x:c>
      <x:c r="C50" s="3" t="str">
        <x:v>cooling</x:v>
      </x:c>
      <x:c r="D50" s="12" t="n">
        <x:v>0</x:v>
      </x:c>
      <x:c r="E50" s="3" t="str">
        <x:v>kg</x:v>
      </x:c>
      <x:c r="F50" s="3" t="str">
        <x:v>recorded</x:v>
      </x:c>
      <x:c r="G50" s="3" t="str">
        <x:v>2024-cooling-10</x:v>
      </x:c>
      <x:c r="H50" s="3" t="str">
        <x:v>0176db6427aae55bcd389bba3cf885ed25180e16a4847dac52761da48fc5db4a</x:v>
      </x:c>
      <x:c r="I50" s="3" t="str">
        <x:v>simulated-facilities-team</x:v>
      </x:c>
      <x:c r="J50" s="3" t="str">
        <x:v>monthly</x:v>
      </x:c>
      <x:c r="K50" s="3" t="str">
        <x:v>synthetic-log</x:v>
      </x:c>
      <x:c r="L50" s="3" t="str">
        <x:v>not-established</x:v>
      </x:c>
      <x:c r="M50" s="11" t="n">
        <x:v>1</x:v>
      </x:c>
      <x:c r="N50" s="3" t="str">
        <x:v>documented-consumption-or-leakage</x:v>
      </x:c>
      <x:c r="O50" s="3" t="str">
        <x:v>True</x:v>
      </x:c>
    </x:row>
    <x:row r="51" ht="72" customHeight="1">
      <x:c r="A51" s="10" t="n">
        <x:v>2024</x:v>
      </x:c>
      <x:c r="B51" s="10" t="n">
        <x:v>11</x:v>
      </x:c>
      <x:c r="C51" s="3" t="str">
        <x:v>cooling</x:v>
      </x:c>
      <x:c r="D51" s="12" t="n">
        <x:v>0</x:v>
      </x:c>
      <x:c r="E51" s="3" t="str">
        <x:v>kg</x:v>
      </x:c>
      <x:c r="F51" s="3" t="str">
        <x:v>recorded</x:v>
      </x:c>
      <x:c r="G51" s="3" t="str">
        <x:v>2024-cooling-11</x:v>
      </x:c>
      <x:c r="H51" s="3" t="str">
        <x:v>13b1ff9578062d80a8c37e4efef611206a85b669d62079724cc8adb0c759457f</x:v>
      </x:c>
      <x:c r="I51" s="3" t="str">
        <x:v>simulated-facilities-team</x:v>
      </x:c>
      <x:c r="J51" s="3" t="str">
        <x:v>monthly</x:v>
      </x:c>
      <x:c r="K51" s="3" t="str">
        <x:v>synthetic-log</x:v>
      </x:c>
      <x:c r="L51" s="3" t="str">
        <x:v>not-established</x:v>
      </x:c>
      <x:c r="M51" s="11" t="n">
        <x:v>1</x:v>
      </x:c>
      <x:c r="N51" s="3" t="str">
        <x:v>documented-consumption-or-leakage</x:v>
      </x:c>
      <x:c r="O51" s="3" t="str">
        <x:v>True</x:v>
      </x:c>
    </x:row>
    <x:row r="52" ht="72" customHeight="1">
      <x:c r="A52" s="10" t="n">
        <x:v>2024</x:v>
      </x:c>
      <x:c r="B52" s="10" t="n">
        <x:v>12</x:v>
      </x:c>
      <x:c r="C52" s="3" t="str">
        <x:v>cooling</x:v>
      </x:c>
      <x:c r="D52" s="12" t="n">
        <x:v>0</x:v>
      </x:c>
      <x:c r="E52" s="3" t="str">
        <x:v>kg</x:v>
      </x:c>
      <x:c r="F52" s="3" t="str">
        <x:v>recorded</x:v>
      </x:c>
      <x:c r="G52" s="3" t="str">
        <x:v>2024-cooling-12</x:v>
      </x:c>
      <x:c r="H52" s="3" t="str">
        <x:v>107ec403defe03cdd0e6051b457e543ead10eafa4c79ccd6bbec9437ed6dcd22</x:v>
      </x:c>
      <x:c r="I52" s="3" t="str">
        <x:v>simulated-facilities-team</x:v>
      </x:c>
      <x:c r="J52" s="3" t="str">
        <x:v>monthly</x:v>
      </x:c>
      <x:c r="K52" s="3" t="str">
        <x:v>synthetic-log</x:v>
      </x:c>
      <x:c r="L52" s="3" t="str">
        <x:v>not-established</x:v>
      </x:c>
      <x:c r="M52" s="11" t="n">
        <x:v>1</x:v>
      </x:c>
      <x:c r="N52" s="3" t="str">
        <x:v>documented-consumption-or-leakage</x:v>
      </x:c>
      <x:c r="O52" s="3" t="str">
        <x:v>True</x:v>
      </x:c>
    </x:row>
    <x:row r="53" ht="72" customHeight="1">
      <x:c r="A53" s="10" t="n">
        <x:v>2024</x:v>
      </x:c>
      <x:c r="B53" s="10" t="n">
        <x:v>1</x:v>
      </x:c>
      <x:c r="C53" s="3" t="str">
        <x:v>electricity</x:v>
      </x:c>
      <x:c r="D53" s="12" t="n">
        <x:v>11100</x:v>
      </x:c>
      <x:c r="E53" s="3" t="str">
        <x:v>kWh</x:v>
      </x:c>
      <x:c r="F53" s="3" t="str">
        <x:v>recorded</x:v>
      </x:c>
      <x:c r="G53" s="3" t="str">
        <x:v>2024-electricity-01</x:v>
      </x:c>
      <x:c r="H53" s="3" t="str">
        <x:v>559830fabc7947b223d8454d9d07782b9bd6858885f226c5b54488593d782eea</x:v>
      </x:c>
      <x:c r="I53" s="3" t="str">
        <x:v>simulated-facilities-team</x:v>
      </x:c>
      <x:c r="J53" s="3" t="str">
        <x:v>monthly</x:v>
      </x:c>
      <x:c r="K53" s="3" t="str">
        <x:v>synthetic-log</x:v>
      </x:c>
      <x:c r="L53" s="3" t="str">
        <x:v>not-established</x:v>
      </x:c>
      <x:c r="M53" s="11" t="n">
        <x:v>1</x:v>
      </x:c>
      <x:c r="N53" s="3" t="str">
        <x:v>documented-consumption-or-leakage</x:v>
      </x:c>
      <x:c r="O53" s="3" t="str">
        <x:v>True</x:v>
      </x:c>
    </x:row>
    <x:row r="54" ht="72" customHeight="1">
      <x:c r="A54" s="10" t="n">
        <x:v>2024</x:v>
      </x:c>
      <x:c r="B54" s="10" t="n">
        <x:v>2</x:v>
      </x:c>
      <x:c r="C54" s="3" t="str">
        <x:v>electricity</x:v>
      </x:c>
      <x:c r="D54" s="12" t="n">
        <x:v>11200</x:v>
      </x:c>
      <x:c r="E54" s="3" t="str">
        <x:v>kWh</x:v>
      </x:c>
      <x:c r="F54" s="3" t="str">
        <x:v>recorded</x:v>
      </x:c>
      <x:c r="G54" s="3" t="str">
        <x:v>2024-electricity-02</x:v>
      </x:c>
      <x:c r="H54" s="3" t="str">
        <x:v>f21e8579d7257e6edd55df0a4189359903239df7c139362561f8d69d5f36287e</x:v>
      </x:c>
      <x:c r="I54" s="3" t="str">
        <x:v>simulated-facilities-team</x:v>
      </x:c>
      <x:c r="J54" s="3" t="str">
        <x:v>monthly</x:v>
      </x:c>
      <x:c r="K54" s="3" t="str">
        <x:v>synthetic-log</x:v>
      </x:c>
      <x:c r="L54" s="3" t="str">
        <x:v>not-established</x:v>
      </x:c>
      <x:c r="M54" s="11" t="n">
        <x:v>1</x:v>
      </x:c>
      <x:c r="N54" s="3" t="str">
        <x:v>documented-consumption-or-leakage</x:v>
      </x:c>
      <x:c r="O54" s="3" t="str">
        <x:v>True</x:v>
      </x:c>
    </x:row>
    <x:row r="55" ht="72" customHeight="1">
      <x:c r="A55" s="10" t="n">
        <x:v>2024</x:v>
      </x:c>
      <x:c r="B55" s="10" t="n">
        <x:v>3</x:v>
      </x:c>
      <x:c r="C55" s="3" t="str">
        <x:v>electricity</x:v>
      </x:c>
      <x:c r="D55" s="12" t="n">
        <x:v>11300</x:v>
      </x:c>
      <x:c r="E55" s="3" t="str">
        <x:v>kWh</x:v>
      </x:c>
      <x:c r="F55" s="3" t="str">
        <x:v>recorded</x:v>
      </x:c>
      <x:c r="G55" s="3" t="str">
        <x:v>2024-electricity-03</x:v>
      </x:c>
      <x:c r="H55" s="3" t="str">
        <x:v>a26d84007c0b94ed53c5c2b9694696956ce5c41110e840821b67830d273f1167</x:v>
      </x:c>
      <x:c r="I55" s="3" t="str">
        <x:v>simulated-facilities-team</x:v>
      </x:c>
      <x:c r="J55" s="3" t="str">
        <x:v>monthly</x:v>
      </x:c>
      <x:c r="K55" s="3" t="str">
        <x:v>synthetic-log</x:v>
      </x:c>
      <x:c r="L55" s="3" t="str">
        <x:v>not-established</x:v>
      </x:c>
      <x:c r="M55" s="11" t="n">
        <x:v>1</x:v>
      </x:c>
      <x:c r="N55" s="3" t="str">
        <x:v>documented-consumption-or-leakage</x:v>
      </x:c>
      <x:c r="O55" s="3" t="str">
        <x:v>True</x:v>
      </x:c>
    </x:row>
    <x:row r="56" ht="72" customHeight="1">
      <x:c r="A56" s="10" t="n">
        <x:v>2024</x:v>
      </x:c>
      <x:c r="B56" s="10" t="n">
        <x:v>4</x:v>
      </x:c>
      <x:c r="C56" s="3" t="str">
        <x:v>electricity</x:v>
      </x:c>
      <x:c r="D56" s="12" t="n">
        <x:v>11400</x:v>
      </x:c>
      <x:c r="E56" s="3" t="str">
        <x:v>kWh</x:v>
      </x:c>
      <x:c r="F56" s="3" t="str">
        <x:v>recorded</x:v>
      </x:c>
      <x:c r="G56" s="3" t="str">
        <x:v>2024-electricity-04</x:v>
      </x:c>
      <x:c r="H56" s="3" t="str">
        <x:v>68fd51e6f9bcbcac379372a222c5a0f3db64510e89a38ad697487dd2c94fd328</x:v>
      </x:c>
      <x:c r="I56" s="3" t="str">
        <x:v>simulated-facilities-team</x:v>
      </x:c>
      <x:c r="J56" s="3" t="str">
        <x:v>monthly</x:v>
      </x:c>
      <x:c r="K56" s="3" t="str">
        <x:v>synthetic-log</x:v>
      </x:c>
      <x:c r="L56" s="3" t="str">
        <x:v>not-established</x:v>
      </x:c>
      <x:c r="M56" s="11" t="n">
        <x:v>1</x:v>
      </x:c>
      <x:c r="N56" s="3" t="str">
        <x:v>documented-consumption-or-leakage</x:v>
      </x:c>
      <x:c r="O56" s="3" t="str">
        <x:v>True</x:v>
      </x:c>
    </x:row>
    <x:row r="57" ht="72" customHeight="1">
      <x:c r="A57" s="10" t="n">
        <x:v>2024</x:v>
      </x:c>
      <x:c r="B57" s="10" t="n">
        <x:v>5</x:v>
      </x:c>
      <x:c r="C57" s="3" t="str">
        <x:v>electricity</x:v>
      </x:c>
      <x:c r="D57" s="12" t="n">
        <x:v>11500</x:v>
      </x:c>
      <x:c r="E57" s="3" t="str">
        <x:v>kWh</x:v>
      </x:c>
      <x:c r="F57" s="3" t="str">
        <x:v>recorded</x:v>
      </x:c>
      <x:c r="G57" s="3" t="str">
        <x:v>2024-electricity-05</x:v>
      </x:c>
      <x:c r="H57" s="3" t="str">
        <x:v>9d222579d1eac7835ca7e8be11e96fd76605924900d3c809067cd7272d327f11</x:v>
      </x:c>
      <x:c r="I57" s="3" t="str">
        <x:v>simulated-facilities-team</x:v>
      </x:c>
      <x:c r="J57" s="3" t="str">
        <x:v>monthly</x:v>
      </x:c>
      <x:c r="K57" s="3" t="str">
        <x:v>synthetic-log</x:v>
      </x:c>
      <x:c r="L57" s="3" t="str">
        <x:v>not-established</x:v>
      </x:c>
      <x:c r="M57" s="11" t="n">
        <x:v>1</x:v>
      </x:c>
      <x:c r="N57" s="3" t="str">
        <x:v>documented-consumption-or-leakage</x:v>
      </x:c>
      <x:c r="O57" s="3" t="str">
        <x:v>True</x:v>
      </x:c>
    </x:row>
    <x:row r="58" ht="72" customHeight="1">
      <x:c r="A58" s="10" t="n">
        <x:v>2024</x:v>
      </x:c>
      <x:c r="B58" s="10" t="n">
        <x:v>6</x:v>
      </x:c>
      <x:c r="C58" s="3" t="str">
        <x:v>electricity</x:v>
      </x:c>
      <x:c r="D58" s="12" t="n">
        <x:v>11600</x:v>
      </x:c>
      <x:c r="E58" s="3" t="str">
        <x:v>kWh</x:v>
      </x:c>
      <x:c r="F58" s="3" t="str">
        <x:v>recorded</x:v>
      </x:c>
      <x:c r="G58" s="3" t="str">
        <x:v>2024-electricity-06</x:v>
      </x:c>
      <x:c r="H58" s="3" t="str">
        <x:v>70a8f8864879cd1df9242679073fb314befde634f25dd2cdc554bb4980a7b6ae</x:v>
      </x:c>
      <x:c r="I58" s="3" t="str">
        <x:v>simulated-facilities-team</x:v>
      </x:c>
      <x:c r="J58" s="3" t="str">
        <x:v>monthly</x:v>
      </x:c>
      <x:c r="K58" s="3" t="str">
        <x:v>synthetic-log</x:v>
      </x:c>
      <x:c r="L58" s="3" t="str">
        <x:v>not-established</x:v>
      </x:c>
      <x:c r="M58" s="11" t="n">
        <x:v>1</x:v>
      </x:c>
      <x:c r="N58" s="3" t="str">
        <x:v>documented-consumption-or-leakage</x:v>
      </x:c>
      <x:c r="O58" s="3" t="str">
        <x:v>True</x:v>
      </x:c>
    </x:row>
    <x:row r="59" ht="72" customHeight="1">
      <x:c r="A59" s="10" t="n">
        <x:v>2024</x:v>
      </x:c>
      <x:c r="B59" s="10" t="n">
        <x:v>7</x:v>
      </x:c>
      <x:c r="C59" s="3" t="str">
        <x:v>electricity</x:v>
      </x:c>
      <x:c r="D59" s="12" t="n">
        <x:v>11700</x:v>
      </x:c>
      <x:c r="E59" s="3" t="str">
        <x:v>kWh</x:v>
      </x:c>
      <x:c r="F59" s="3" t="str">
        <x:v>recorded</x:v>
      </x:c>
      <x:c r="G59" s="3" t="str">
        <x:v>2024-electricity-07</x:v>
      </x:c>
      <x:c r="H59" s="3" t="str">
        <x:v>c4565efae48c538862b2eec5bb18024d83caa309b0a03e44dc0954e5deb3e4a9</x:v>
      </x:c>
      <x:c r="I59" s="3" t="str">
        <x:v>simulated-facilities-team</x:v>
      </x:c>
      <x:c r="J59" s="3" t="str">
        <x:v>monthly</x:v>
      </x:c>
      <x:c r="K59" s="3" t="str">
        <x:v>synthetic-log</x:v>
      </x:c>
      <x:c r="L59" s="3" t="str">
        <x:v>not-established</x:v>
      </x:c>
      <x:c r="M59" s="11" t="n">
        <x:v>1</x:v>
      </x:c>
      <x:c r="N59" s="3" t="str">
        <x:v>documented-consumption-or-leakage</x:v>
      </x:c>
      <x:c r="O59" s="3" t="str">
        <x:v>True</x:v>
      </x:c>
    </x:row>
    <x:row r="60" ht="72" customHeight="1">
      <x:c r="A60" s="10" t="n">
        <x:v>2024</x:v>
      </x:c>
      <x:c r="B60" s="10" t="n">
        <x:v>8</x:v>
      </x:c>
      <x:c r="C60" s="3" t="str">
        <x:v>electricity</x:v>
      </x:c>
      <x:c r="D60" s="12" t="n">
        <x:v>11800</x:v>
      </x:c>
      <x:c r="E60" s="3" t="str">
        <x:v>kWh</x:v>
      </x:c>
      <x:c r="F60" s="3" t="str">
        <x:v>recorded</x:v>
      </x:c>
      <x:c r="G60" s="3" t="str">
        <x:v>2024-electricity-08</x:v>
      </x:c>
      <x:c r="H60" s="3" t="str">
        <x:v>b4bd82d6ce9f3e1ea99aa716e064d352c0fabd0f3ccfe5f63bb3f1217a1c1fa1</x:v>
      </x:c>
      <x:c r="I60" s="3" t="str">
        <x:v>simulated-facilities-team</x:v>
      </x:c>
      <x:c r="J60" s="3" t="str">
        <x:v>monthly</x:v>
      </x:c>
      <x:c r="K60" s="3" t="str">
        <x:v>synthetic-log</x:v>
      </x:c>
      <x:c r="L60" s="3" t="str">
        <x:v>not-established</x:v>
      </x:c>
      <x:c r="M60" s="11" t="n">
        <x:v>1</x:v>
      </x:c>
      <x:c r="N60" s="3" t="str">
        <x:v>documented-consumption-or-leakage</x:v>
      </x:c>
      <x:c r="O60" s="3" t="str">
        <x:v>True</x:v>
      </x:c>
    </x:row>
    <x:row r="61" ht="72" customHeight="1">
      <x:c r="A61" s="10" t="n">
        <x:v>2024</x:v>
      </x:c>
      <x:c r="B61" s="10" t="n">
        <x:v>9</x:v>
      </x:c>
      <x:c r="C61" s="3" t="str">
        <x:v>electricity</x:v>
      </x:c>
      <x:c r="D61" s="12" t="n">
        <x:v>11900</x:v>
      </x:c>
      <x:c r="E61" s="3" t="str">
        <x:v>kWh</x:v>
      </x:c>
      <x:c r="F61" s="3" t="str">
        <x:v>recorded</x:v>
      </x:c>
      <x:c r="G61" s="3" t="str">
        <x:v>2024-electricity-09</x:v>
      </x:c>
      <x:c r="H61" s="3" t="str">
        <x:v>3a2bbcaf1b51f077ce60629320516618abda0ecfc71cf7b5add84d866cbdc776</x:v>
      </x:c>
      <x:c r="I61" s="3" t="str">
        <x:v>simulated-facilities-team</x:v>
      </x:c>
      <x:c r="J61" s="3" t="str">
        <x:v>monthly</x:v>
      </x:c>
      <x:c r="K61" s="3" t="str">
        <x:v>synthetic-log</x:v>
      </x:c>
      <x:c r="L61" s="3" t="str">
        <x:v>not-established</x:v>
      </x:c>
      <x:c r="M61" s="11" t="n">
        <x:v>1</x:v>
      </x:c>
      <x:c r="N61" s="3" t="str">
        <x:v>documented-consumption-or-leakage</x:v>
      </x:c>
      <x:c r="O61" s="3" t="str">
        <x:v>True</x:v>
      </x:c>
    </x:row>
    <x:row r="62" ht="72" customHeight="1">
      <x:c r="A62" s="10" t="n">
        <x:v>2024</x:v>
      </x:c>
      <x:c r="B62" s="10" t="n">
        <x:v>10</x:v>
      </x:c>
      <x:c r="C62" s="3" t="str">
        <x:v>electricity</x:v>
      </x:c>
      <x:c r="D62" s="12" t="n">
        <x:v>12000</x:v>
      </x:c>
      <x:c r="E62" s="3" t="str">
        <x:v>kWh</x:v>
      </x:c>
      <x:c r="F62" s="3" t="str">
        <x:v>recorded</x:v>
      </x:c>
      <x:c r="G62" s="3" t="str">
        <x:v>2024-electricity-10</x:v>
      </x:c>
      <x:c r="H62" s="3" t="str">
        <x:v>e6f134b2bb52c2a9f0bfc36ce2961f0fbb294a9a5626aeb16caa289c6905738c</x:v>
      </x:c>
      <x:c r="I62" s="3" t="str">
        <x:v>simulated-facilities-team</x:v>
      </x:c>
      <x:c r="J62" s="3" t="str">
        <x:v>monthly</x:v>
      </x:c>
      <x:c r="K62" s="3" t="str">
        <x:v>synthetic-log</x:v>
      </x:c>
      <x:c r="L62" s="3" t="str">
        <x:v>not-established</x:v>
      </x:c>
      <x:c r="M62" s="11" t="n">
        <x:v>1</x:v>
      </x:c>
      <x:c r="N62" s="3" t="str">
        <x:v>documented-consumption-or-leakage</x:v>
      </x:c>
      <x:c r="O62" s="3" t="str">
        <x:v>True</x:v>
      </x:c>
    </x:row>
    <x:row r="63" ht="72" customHeight="1">
      <x:c r="A63" s="10" t="n">
        <x:v>2024</x:v>
      </x:c>
      <x:c r="B63" s="10" t="n">
        <x:v>11</x:v>
      </x:c>
      <x:c r="C63" s="3" t="str">
        <x:v>electricity</x:v>
      </x:c>
      <x:c r="D63" s="12" t="n">
        <x:v>12100</x:v>
      </x:c>
      <x:c r="E63" s="3" t="str">
        <x:v>kWh</x:v>
      </x:c>
      <x:c r="F63" s="3" t="str">
        <x:v>recorded</x:v>
      </x:c>
      <x:c r="G63" s="3" t="str">
        <x:v>2024-electricity-11</x:v>
      </x:c>
      <x:c r="H63" s="3" t="str">
        <x:v>681c07867119e1050e9a06164140643ea89b476bb6d5b3f5698e025baf915e32</x:v>
      </x:c>
      <x:c r="I63" s="3" t="str">
        <x:v>simulated-facilities-team</x:v>
      </x:c>
      <x:c r="J63" s="3" t="str">
        <x:v>monthly</x:v>
      </x:c>
      <x:c r="K63" s="3" t="str">
        <x:v>synthetic-log</x:v>
      </x:c>
      <x:c r="L63" s="3" t="str">
        <x:v>not-established</x:v>
      </x:c>
      <x:c r="M63" s="11" t="n">
        <x:v>1</x:v>
      </x:c>
      <x:c r="N63" s="3" t="str">
        <x:v>documented-consumption-or-leakage</x:v>
      </x:c>
      <x:c r="O63" s="3" t="str">
        <x:v>True</x:v>
      </x:c>
    </x:row>
    <x:row r="64" ht="72" customHeight="1">
      <x:c r="A64" s="10" t="n">
        <x:v>2024</x:v>
      </x:c>
      <x:c r="B64" s="10" t="n">
        <x:v>12</x:v>
      </x:c>
      <x:c r="C64" s="3" t="str">
        <x:v>electricity</x:v>
      </x:c>
      <x:c r="D64" s="12" t="n">
        <x:v>12200</x:v>
      </x:c>
      <x:c r="E64" s="3" t="str">
        <x:v>kWh</x:v>
      </x:c>
      <x:c r="F64" s="3" t="str">
        <x:v>recorded</x:v>
      </x:c>
      <x:c r="G64" s="3" t="str">
        <x:v>2024-electricity-12</x:v>
      </x:c>
      <x:c r="H64" s="3" t="str">
        <x:v>a09989677e100b61d3255023bda176f1e8a5ab3b81a6ff63aa2f96c27aa211f1</x:v>
      </x:c>
      <x:c r="I64" s="3" t="str">
        <x:v>simulated-facilities-team</x:v>
      </x:c>
      <x:c r="J64" s="3" t="str">
        <x:v>monthly</x:v>
      </x:c>
      <x:c r="K64" s="3" t="str">
        <x:v>synthetic-log</x:v>
      </x:c>
      <x:c r="L64" s="3" t="str">
        <x:v>not-established</x:v>
      </x:c>
      <x:c r="M64" s="11" t="n">
        <x:v>1</x:v>
      </x:c>
      <x:c r="N64" s="3" t="str">
        <x:v>documented-consumption-or-leakage</x:v>
      </x:c>
      <x:c r="O64" s="3" t="str">
        <x:v>True</x:v>
      </x:c>
    </x:row>
  </x:sheetData>
  <x:mergeCells>
    <x:mergeCell ref="A1:F1"/>
    <x:mergeCell ref="A2:F2"/>
  </x:mergeCells>
  <x:dataValidations count="2">
    <x:dataValidation type="list" sqref="B5:B64">
      <x:formula1>"1,2,3,4,5,6,7,8,9,10,11,12"</x:formula1>
    </x:dataValidation>
    <x:dataValidation type="list" sqref="C5:C64">
      <x:formula1>"boiler,generator,new-generator,cooling,electricity"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30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</x:cols>
  <x:sheetData>
    <x:row r="1" ht="40" customHeight="1">
      <x:c r="A1" s="5" t="str">
        <x:v>分氣體定量盤查｜2024 年合成範例</x:v>
      </x:c>
      <x:c r="B1" s="5"/>
      <x:c r="C1" s="5"/>
      <x:c r="D1" s="5"/>
      <x:c r="E1" s="5"/>
      <x:c r="F1" s="5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  <x:c r="H2" s="3"/>
      <x:c r="I2" s="3"/>
      <x:c r="J2" s="3"/>
      <x:c r="K2" s="3"/>
      <x:c r="L2" s="3"/>
      <x:c r="M2" s="3"/>
      <x:c r="N2" s="3"/>
    </x:row>
    <x:row r="3" ht="7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64" customHeight="1">
      <x:c r="A4" s="9" t="str">
        <x:v>年度 year</x:v>
      </x:c>
      <x:c r="B4" s="9" t="str">
        <x:v>排放源 ID</x:v>
      </x:c>
      <x:c r="C4" s="9" t="str">
        <x:v>氣體 gas</x:v>
      </x:c>
      <x:c r="D4" s="9" t="str">
        <x:v>年度活動數據</x:v>
      </x:c>
      <x:c r="E4" s="9" t="str">
        <x:v>單位 unit</x:v>
      </x:c>
      <x:c r="F4" s="9" t="str">
        <x:v>低位熱值 MJ/單位</x:v>
      </x:c>
      <x:c r="G4" s="9" t="str">
        <x:v>排放係數</x:v>
      </x:c>
      <x:c r="H4" s="9" t="str">
        <x:v>係數單位</x:v>
      </x:c>
      <x:c r="I4" s="9" t="str">
        <x:v>係數來源 ID</x:v>
      </x:c>
      <x:c r="J4" s="9" t="str">
        <x:v>GWP (100年)</x:v>
      </x:c>
      <x:c r="K4" s="9" t="str">
        <x:v>GWP 依據</x:v>
      </x:c>
      <x:c r="L4" s="9" t="str">
        <x:v>氣體排放 kg</x:v>
      </x:c>
      <x:c r="M4" s="9" t="str">
        <x:v>排放當量 kgCO2e</x:v>
      </x:c>
      <x:c r="N4" s="9" t="str">
        <x:v>是否合成資料</x:v>
      </x:c>
    </x:row>
    <x:row r="5" ht="72" customHeight="1">
      <x:c r="A5" s="10" t="n">
        <x:v>2024</x:v>
      </x:c>
      <x:c r="B5" s="3" t="str">
        <x:v>boiler</x:v>
      </x:c>
      <x:c r="C5" s="3" t="str">
        <x:v>CO2</x:v>
      </x:c>
      <x:c r="D5" s="18" t="n">
        <x:f>IF(COUNT('04 Activity'!D5:D16)&lt;&gt;12,"MISSING",SUM('04 Activity'!D5:D16))</x:f>
        <x:v>11580</x:v>
      </x:c>
      <x:c r="E5" s="3" t="str">
        <x:v>meter ** 3</x:v>
      </x:c>
      <x:c r="F5" s="11" t="n">
        <x:v>38</x:v>
      </x:c>
      <x:c r="G5" s="11" t="n">
        <x:v>56100</x:v>
      </x:c>
      <x:c r="H5" s="3" t="str">
        <x:v>kg-gas/TJ</x:v>
      </x:c>
      <x:c r="I5" s="3" t="str">
        <x:v>official-factors</x:v>
      </x:c>
      <x:c r="J5" s="11" t="n">
        <x:v>1</x:v>
      </x:c>
      <x:c r="K5" s="3" t="str">
        <x:v>MOENV-113-AR5-100y</x:v>
      </x:c>
      <x:c r="L5" s="18" t="n">
        <x:f>IF(ISNUMBER(D5),D5*G5*F5/1000000,"MISSING")</x:f>
        <x:v>24686.244</x:v>
      </x:c>
      <x:c r="M5" s="18" t="n">
        <x:f>IF(ISNUMBER(D5),L5*J5,"MISSING")</x:f>
        <x:v>24686.244</x:v>
      </x:c>
      <x:c r="N5" s="3" t="str">
        <x:v>True</x:v>
      </x:c>
    </x:row>
    <x:row r="6" ht="72" customHeight="1">
      <x:c r="A6" s="10" t="n">
        <x:v>2024</x:v>
      </x:c>
      <x:c r="B6" s="3" t="str">
        <x:v>boiler</x:v>
      </x:c>
      <x:c r="C6" s="3" t="str">
        <x:v>CH4</x:v>
      </x:c>
      <x:c r="D6" s="18" t="n">
        <x:f>IF(COUNT('04 Activity'!D5:D16)&lt;&gt;12,"MISSING",SUM('04 Activity'!D5:D16))</x:f>
        <x:v>11580</x:v>
      </x:c>
      <x:c r="E6" s="3" t="str">
        <x:v>meter ** 3</x:v>
      </x:c>
      <x:c r="F6" s="11" t="n">
        <x:v>38</x:v>
      </x:c>
      <x:c r="G6" s="11" t="n">
        <x:v>1</x:v>
      </x:c>
      <x:c r="H6" s="3" t="str">
        <x:v>kg-gas/TJ</x:v>
      </x:c>
      <x:c r="I6" s="3" t="str">
        <x:v>official-factors</x:v>
      </x:c>
      <x:c r="J6" s="11" t="n">
        <x:v>28</x:v>
      </x:c>
      <x:c r="K6" s="3" t="str">
        <x:v>MOENV-113-AR5-100y</x:v>
      </x:c>
      <x:c r="L6" s="18" t="n">
        <x:f>IF(ISNUMBER(D6),D6*G6*F6/1000000,"MISSING")</x:f>
        <x:v>0.44004</x:v>
      </x:c>
      <x:c r="M6" s="18" t="n">
        <x:f>IF(ISNUMBER(D6),L6*J6,"MISSING")</x:f>
        <x:v>12.32112</x:v>
      </x:c>
      <x:c r="N6" s="3" t="str">
        <x:v>True</x:v>
      </x:c>
    </x:row>
    <x:row r="7" ht="72" customHeight="1">
      <x:c r="A7" s="10" t="n">
        <x:v>2024</x:v>
      </x:c>
      <x:c r="B7" s="3" t="str">
        <x:v>boiler</x:v>
      </x:c>
      <x:c r="C7" s="3" t="str">
        <x:v>N2O</x:v>
      </x:c>
      <x:c r="D7" s="18" t="n">
        <x:f>IF(COUNT('04 Activity'!D5:D16)&lt;&gt;12,"MISSING",SUM('04 Activity'!D5:D16))</x:f>
        <x:v>11580</x:v>
      </x:c>
      <x:c r="E7" s="3" t="str">
        <x:v>meter ** 3</x:v>
      </x:c>
      <x:c r="F7" s="11" t="n">
        <x:v>38</x:v>
      </x:c>
      <x:c r="G7" s="11" t="n">
        <x:v>0.1</x:v>
      </x:c>
      <x:c r="H7" s="3" t="str">
        <x:v>kg-gas/TJ</x:v>
      </x:c>
      <x:c r="I7" s="3" t="str">
        <x:v>official-factors</x:v>
      </x:c>
      <x:c r="J7" s="11" t="n">
        <x:v>265</x:v>
      </x:c>
      <x:c r="K7" s="3" t="str">
        <x:v>MOENV-113-AR5-100y</x:v>
      </x:c>
      <x:c r="L7" s="18" t="n">
        <x:f>IF(ISNUMBER(D7),D7*G7*F7/1000000,"MISSING")</x:f>
        <x:v>0.044004</x:v>
      </x:c>
      <x:c r="M7" s="18" t="n">
        <x:f>IF(ISNUMBER(D7),L7*J7,"MISSING")</x:f>
        <x:v>11.66106</x:v>
      </x:c>
      <x:c r="N7" s="3" t="str">
        <x:v>True</x:v>
      </x:c>
    </x:row>
    <x:row r="8" ht="72" customHeight="1">
      <x:c r="A8" s="10" t="n">
        <x:v>2024</x:v>
      </x:c>
      <x:c r="B8" s="3" t="str">
        <x:v>generator</x:v>
      </x:c>
      <x:c r="C8" s="3" t="str">
        <x:v>CO2</x:v>
      </x:c>
      <x:c r="D8" s="18" t="n">
        <x:f>IF(COUNT('04 Activity'!D17:D28)&lt;&gt;12,"MISSING",SUM('04 Activity'!D17:D28))</x:f>
        <x:v>498</x:v>
      </x:c>
      <x:c r="E8" s="3" t="str">
        <x:v>liter</x:v>
      </x:c>
      <x:c r="F8" s="11" t="n">
        <x:v>36</x:v>
      </x:c>
      <x:c r="G8" s="11" t="n">
        <x:v>74100</x:v>
      </x:c>
      <x:c r="H8" s="3" t="str">
        <x:v>kg-gas/TJ</x:v>
      </x:c>
      <x:c r="I8" s="3" t="str">
        <x:v>official-factors</x:v>
      </x:c>
      <x:c r="J8" s="11" t="n">
        <x:v>1</x:v>
      </x:c>
      <x:c r="K8" s="3" t="str">
        <x:v>MOENV-113-AR5-100y</x:v>
      </x:c>
      <x:c r="L8" s="18" t="n">
        <x:f>IF(ISNUMBER(D8),D8*G8*F8/1000000,"MISSING")</x:f>
        <x:v>1328.4648</x:v>
      </x:c>
      <x:c r="M8" s="18" t="n">
        <x:f>IF(ISNUMBER(D8),L8*J8,"MISSING")</x:f>
        <x:v>1328.4648</x:v>
      </x:c>
      <x:c r="N8" s="3" t="str">
        <x:v>True</x:v>
      </x:c>
    </x:row>
    <x:row r="9" ht="72" customHeight="1">
      <x:c r="A9" s="10" t="n">
        <x:v>2024</x:v>
      </x:c>
      <x:c r="B9" s="3" t="str">
        <x:v>generator</x:v>
      </x:c>
      <x:c r="C9" s="3" t="str">
        <x:v>CH4</x:v>
      </x:c>
      <x:c r="D9" s="18" t="n">
        <x:f>IF(COUNT('04 Activity'!D17:D28)&lt;&gt;12,"MISSING",SUM('04 Activity'!D17:D28))</x:f>
        <x:v>498</x:v>
      </x:c>
      <x:c r="E9" s="3" t="str">
        <x:v>liter</x:v>
      </x:c>
      <x:c r="F9" s="11" t="n">
        <x:v>36</x:v>
      </x:c>
      <x:c r="G9" s="11" t="n">
        <x:v>3</x:v>
      </x:c>
      <x:c r="H9" s="3" t="str">
        <x:v>kg-gas/TJ</x:v>
      </x:c>
      <x:c r="I9" s="3" t="str">
        <x:v>official-factors</x:v>
      </x:c>
      <x:c r="J9" s="11" t="n">
        <x:v>28</x:v>
      </x:c>
      <x:c r="K9" s="3" t="str">
        <x:v>MOENV-113-AR5-100y</x:v>
      </x:c>
      <x:c r="L9" s="18" t="n">
        <x:f>IF(ISNUMBER(D9),D9*G9*F9/1000000,"MISSING")</x:f>
        <x:v>0.053784</x:v>
      </x:c>
      <x:c r="M9" s="18" t="n">
        <x:f>IF(ISNUMBER(D9),L9*J9,"MISSING")</x:f>
        <x:v>1.505952</x:v>
      </x:c>
      <x:c r="N9" s="3" t="str">
        <x:v>True</x:v>
      </x:c>
    </x:row>
    <x:row r="10" ht="72" customHeight="1">
      <x:c r="A10" s="10" t="n">
        <x:v>2024</x:v>
      </x:c>
      <x:c r="B10" s="3" t="str">
        <x:v>generator</x:v>
      </x:c>
      <x:c r="C10" s="3" t="str">
        <x:v>N2O</x:v>
      </x:c>
      <x:c r="D10" s="18" t="n">
        <x:f>IF(COUNT('04 Activity'!D17:D28)&lt;&gt;12,"MISSING",SUM('04 Activity'!D17:D28))</x:f>
        <x:v>498</x:v>
      </x:c>
      <x:c r="E10" s="3" t="str">
        <x:v>liter</x:v>
      </x:c>
      <x:c r="F10" s="11" t="n">
        <x:v>36</x:v>
      </x:c>
      <x:c r="G10" s="11" t="n">
        <x:v>0.6</x:v>
      </x:c>
      <x:c r="H10" s="3" t="str">
        <x:v>kg-gas/TJ</x:v>
      </x:c>
      <x:c r="I10" s="3" t="str">
        <x:v>official-factors</x:v>
      </x:c>
      <x:c r="J10" s="11" t="n">
        <x:v>265</x:v>
      </x:c>
      <x:c r="K10" s="3" t="str">
        <x:v>MOENV-113-AR5-100y</x:v>
      </x:c>
      <x:c r="L10" s="18" t="n">
        <x:f>IF(ISNUMBER(D10),D10*G10*F10/1000000,"MISSING")</x:f>
        <x:v>0.0107568</x:v>
      </x:c>
      <x:c r="M10" s="18" t="n">
        <x:f>IF(ISNUMBER(D10),L10*J10,"MISSING")</x:f>
        <x:v>2.850552</x:v>
      </x:c>
      <x:c r="N10" s="3" t="str">
        <x:v>True</x:v>
      </x:c>
    </x:row>
    <x:row r="11" ht="72" customHeight="1">
      <x:c r="A11" s="10" t="n">
        <x:v>2024</x:v>
      </x:c>
      <x:c r="B11" s="3" t="str">
        <x:v>new-generator</x:v>
      </x:c>
      <x:c r="C11" s="3" t="str">
        <x:v>CO2</x:v>
      </x:c>
      <x:c r="D11" s="18" t="n">
        <x:f>IF(COUNT('04 Activity'!D29:D40)&lt;&gt;12,"MISSING",SUM('04 Activity'!D29:D40))</x:f>
        <x:v>120</x:v>
      </x:c>
      <x:c r="E11" s="3" t="str">
        <x:v>liter</x:v>
      </x:c>
      <x:c r="F11" s="11" t="n">
        <x:v>36</x:v>
      </x:c>
      <x:c r="G11" s="11" t="n">
        <x:v>74100</x:v>
      </x:c>
      <x:c r="H11" s="3" t="str">
        <x:v>kg-gas/TJ</x:v>
      </x:c>
      <x:c r="I11" s="3" t="str">
        <x:v>official-factors</x:v>
      </x:c>
      <x:c r="J11" s="11" t="n">
        <x:v>1</x:v>
      </x:c>
      <x:c r="K11" s="3" t="str">
        <x:v>MOENV-113-AR5-100y</x:v>
      </x:c>
      <x:c r="L11" s="18" t="n">
        <x:f>IF(ISNUMBER(D11),D11*G11*F11/1000000,"MISSING")</x:f>
        <x:v>320.112</x:v>
      </x:c>
      <x:c r="M11" s="18" t="n">
        <x:f>IF(ISNUMBER(D11),L11*J11,"MISSING")</x:f>
        <x:v>320.112</x:v>
      </x:c>
      <x:c r="N11" s="3" t="str">
        <x:v>True</x:v>
      </x:c>
    </x:row>
    <x:row r="12" ht="72" customHeight="1">
      <x:c r="A12" s="10" t="n">
        <x:v>2024</x:v>
      </x:c>
      <x:c r="B12" s="3" t="str">
        <x:v>new-generator</x:v>
      </x:c>
      <x:c r="C12" s="3" t="str">
        <x:v>CH4</x:v>
      </x:c>
      <x:c r="D12" s="18" t="n">
        <x:f>IF(COUNT('04 Activity'!D29:D40)&lt;&gt;12,"MISSING",SUM('04 Activity'!D29:D40))</x:f>
        <x:v>120</x:v>
      </x:c>
      <x:c r="E12" s="3" t="str">
        <x:v>liter</x:v>
      </x:c>
      <x:c r="F12" s="11" t="n">
        <x:v>36</x:v>
      </x:c>
      <x:c r="G12" s="11" t="n">
        <x:v>3</x:v>
      </x:c>
      <x:c r="H12" s="3" t="str">
        <x:v>kg-gas/TJ</x:v>
      </x:c>
      <x:c r="I12" s="3" t="str">
        <x:v>official-factors</x:v>
      </x:c>
      <x:c r="J12" s="11" t="n">
        <x:v>28</x:v>
      </x:c>
      <x:c r="K12" s="3" t="str">
        <x:v>MOENV-113-AR5-100y</x:v>
      </x:c>
      <x:c r="L12" s="18" t="n">
        <x:f>IF(ISNUMBER(D12),D12*G12*F12/1000000,"MISSING")</x:f>
        <x:v>0.01296</x:v>
      </x:c>
      <x:c r="M12" s="18" t="n">
        <x:f>IF(ISNUMBER(D12),L12*J12,"MISSING")</x:f>
        <x:v>0.36288</x:v>
      </x:c>
      <x:c r="N12" s="3" t="str">
        <x:v>True</x:v>
      </x:c>
    </x:row>
    <x:row r="13" ht="72" customHeight="1">
      <x:c r="A13" s="10" t="n">
        <x:v>2024</x:v>
      </x:c>
      <x:c r="B13" s="3" t="str">
        <x:v>new-generator</x:v>
      </x:c>
      <x:c r="C13" s="3" t="str">
        <x:v>N2O</x:v>
      </x:c>
      <x:c r="D13" s="18" t="n">
        <x:f>IF(COUNT('04 Activity'!D29:D40)&lt;&gt;12,"MISSING",SUM('04 Activity'!D29:D40))</x:f>
        <x:v>120</x:v>
      </x:c>
      <x:c r="E13" s="3" t="str">
        <x:v>liter</x:v>
      </x:c>
      <x:c r="F13" s="11" t="n">
        <x:v>36</x:v>
      </x:c>
      <x:c r="G13" s="11" t="n">
        <x:v>0.6</x:v>
      </x:c>
      <x:c r="H13" s="3" t="str">
        <x:v>kg-gas/TJ</x:v>
      </x:c>
      <x:c r="I13" s="3" t="str">
        <x:v>official-factors</x:v>
      </x:c>
      <x:c r="J13" s="11" t="n">
        <x:v>265</x:v>
      </x:c>
      <x:c r="K13" s="3" t="str">
        <x:v>MOENV-113-AR5-100y</x:v>
      </x:c>
      <x:c r="L13" s="18" t="n">
        <x:f>IF(ISNUMBER(D13),D13*G13*F13/1000000,"MISSING")</x:f>
        <x:v>0.002592</x:v>
      </x:c>
      <x:c r="M13" s="18" t="n">
        <x:f>IF(ISNUMBER(D13),L13*J13,"MISSING")</x:f>
        <x:v>0.68688</x:v>
      </x:c>
      <x:c r="N13" s="3" t="str">
        <x:v>True</x:v>
      </x:c>
    </x:row>
    <x:row r="14" ht="72" customHeight="1">
      <x:c r="A14" s="10" t="n">
        <x:v>2024</x:v>
      </x:c>
      <x:c r="B14" s="3" t="str">
        <x:v>cooling</x:v>
      </x:c>
      <x:c r="C14" s="3" t="str">
        <x:v>HFC-134a</x:v>
      </x:c>
      <x:c r="D14" s="18" t="n">
        <x:f>IF(COUNT('04 Activity'!D41:D52)&lt;&gt;12,"MISSING",SUM('04 Activity'!D41:D52))</x:f>
        <x:v>2</x:v>
      </x:c>
      <x:c r="E14" s="3" t="str">
        <x:v>kg</x:v>
      </x:c>
      <x:c r="F14" s="11" t="str">
        <x:v>not-applicable</x:v>
      </x:c>
      <x:c r="G14" s="11" t="n">
        <x:v>1</x:v>
      </x:c>
      <x:c r="H14" s="3" t="str">
        <x:v>kg-gas/kg-leaked</x:v>
      </x:c>
      <x:c r="I14" s="3" t="str">
        <x:v>official-factors</x:v>
      </x:c>
      <x:c r="J14" s="11" t="n">
        <x:v>1300</x:v>
      </x:c>
      <x:c r="K14" s="3" t="str">
        <x:v>MOENV-113-AR5-100y</x:v>
      </x:c>
      <x:c r="L14" s="18" t="n">
        <x:f>IF(ISNUMBER(D14),D14*G14,"MISSING")</x:f>
        <x:v>2</x:v>
      </x:c>
      <x:c r="M14" s="18" t="n">
        <x:f>IF(ISNUMBER(D14),L14*J14,"MISSING")</x:f>
        <x:v>2600</x:v>
      </x:c>
      <x:c r="N14" s="3" t="str">
        <x:v>True</x:v>
      </x:c>
    </x:row>
    <x:row r="15" ht="72" customHeight="1">
      <x:c r="A15" s="10" t="n">
        <x:v>2024</x:v>
      </x:c>
      <x:c r="B15" s="3" t="str">
        <x:v>electricity</x:v>
      </x:c>
      <x:c r="C15" s="3" t="str">
        <x:v>CO2e</x:v>
      </x:c>
      <x:c r="D15" s="18" t="n">
        <x:f>IF(COUNT('04 Activity'!D53:D64)&lt;&gt;12,"MISSING",SUM('04 Activity'!D53:D64))</x:f>
        <x:v>139800</x:v>
      </x:c>
      <x:c r="E15" s="3" t="str">
        <x:v>kWh</x:v>
      </x:c>
      <x:c r="F15" s="11" t="str">
        <x:v>not-applicable</x:v>
      </x:c>
      <x:c r="G15" s="11" t="n">
        <x:v>0.474</x:v>
      </x:c>
      <x:c r="H15" s="3" t="str">
        <x:v>kg-CO2e/kWh</x:v>
      </x:c>
      <x:c r="I15" s="3" t="str">
        <x:v>official-inventory-annex1</x:v>
      </x:c>
      <x:c r="J15" s="11" t="n">
        <x:v>1</x:v>
      </x:c>
      <x:c r="K15" s="3" t="str">
        <x:v>precharacterized-no-second-GWP</x:v>
      </x:c>
      <x:c r="L15" s="18" t="str">
        <x:f>"not-gas-resolved"</x:f>
        <x:v>not-gas-resolved</x:v>
      </x:c>
      <x:c r="M15" s="18" t="n">
        <x:f>IF(ISNUMBER(D15),D15*G15,"MISSING")</x:f>
        <x:v>66265.2</x:v>
      </x:c>
      <x:c r="N15" s="3" t="str">
        <x:v>True</x:v>
      </x:c>
    </x:row>
    <x:row r="22" ht="32" customHeight="1">
      <x:c r="A22" s="14" t="str">
        <x:v>參數來源｜historical training policy; not production defaults</x:v>
      </x:c>
      <x:c r="B22" s="14"/>
      <x:c r="C22" s="14"/>
      <x:c r="D22" s="14"/>
      <x:c r="E22" s="14"/>
      <x:c r="F22" s="14"/>
    </x:row>
    <x:row r="23" ht="28" customHeight="1">
      <x:c r="A23" s="3" t="str">
        <x:v>official-factors: 113年2月5日公告溫室氣體排放係數.ods | retrieved 2026-10-15 | https://ghgregistry.moenv.gov.tw/upload/Tools/AI/113%E5%B9%B42%E6%9C%885%E6%97%A5%E5%85%AC%E5%91%8A%E6%BA%AB%E5%AE%A4%E6%B0%A3%E9%AB%94%E6%8E%92%E6%94%BE%E4%BF%82%E6%95%B8.ods | SHA256 085fe962e158078e5b3383568b4eeeda0466373ae2d0f62f7870efa0a0dcd0b0</x:v>
      </x:c>
      <x:c r="B23" s="3"/>
      <x:c r="C23" s="3"/>
      <x:c r="D23" s="3"/>
      <x:c r="E23" s="3"/>
      <x:c r="F23" s="3"/>
    </x:row>
    <x:row r="24" ht="28" customHeight="1">
      <x:c r="A24" s="3"/>
      <x:c r="B24" s="3"/>
      <x:c r="C24" s="3"/>
      <x:c r="D24" s="3"/>
      <x:c r="E24" s="3"/>
      <x:c r="F24" s="3"/>
    </x:row>
    <x:row r="25" ht="28" customHeight="1">
      <x:c r="A25" s="3"/>
      <x:c r="B25" s="3"/>
      <x:c r="C25" s="3"/>
      <x:c r="D25" s="3"/>
      <x:c r="E25" s="3"/>
      <x:c r="F25" s="3"/>
    </x:row>
    <x:row r="26" ht="28" customHeight="1">
      <x:c r="A26" s="3" t="str">
        <x:v>official-inventory-annex1: 溫室氣體排放量清冊表單(範例).ods | retrieved 2026-10-15 | https://ghgregistry.moenv.gov.tw/upload/Tools/AI/%E6%BA%AB%E5%AE%A4%E6%B0%A3%E9%AB%94%E6%8E%92%E6%94%BE%E9%87%8F%E6%B8%85%E5%86%8A%E8%A1%A8%E5%96%AE%28%E7%AF%84%E4%BE%8B%29.ods | SHA256 5fd54c596bca2b5b533fe96f57078b9c1204dd0588fee258f6bcb494a6028e8c</x:v>
      </x:c>
      <x:c r="B26" s="3"/>
      <x:c r="C26" s="3"/>
      <x:c r="D26" s="3"/>
      <x:c r="E26" s="3"/>
      <x:c r="F26" s="3"/>
    </x:row>
    <x:row r="27" ht="28" customHeight="1">
      <x:c r="A27" s="3"/>
      <x:c r="B27" s="3"/>
      <x:c r="C27" s="3"/>
      <x:c r="D27" s="3"/>
      <x:c r="E27" s="3"/>
      <x:c r="F27" s="3"/>
    </x:row>
    <x:row r="28" ht="28" customHeight="1">
      <x:c r="A28" s="3"/>
      <x:c r="B28" s="3"/>
      <x:c r="C28" s="3"/>
      <x:c r="D28" s="3"/>
      <x:c r="E28" s="3"/>
      <x:c r="F28" s="3"/>
    </x:row>
    <x:row r="29" ht="28" customHeight="1">
      <x:c r="A29" s="17" t="str">
        <x:v>低位熱值38 MJ/m³／36 MJ/L為虛構假設，非官方值或檢測證明。電力係數為歷史版本回放；需依法另核最新適用版本。已CO2e化因子不得再乘GWP。</x:v>
      </x:c>
      <x:c r="B29" s="17"/>
      <x:c r="C29" s="17"/>
      <x:c r="D29" s="17"/>
      <x:c r="E29" s="17"/>
      <x:c r="F29" s="17"/>
    </x:row>
    <x:row r="30" ht="28" customHeight="1">
      <x:c r="A30" s="17"/>
      <x:c r="B30" s="17"/>
      <x:c r="C30" s="17"/>
      <x:c r="D30" s="17"/>
      <x:c r="E30" s="17"/>
      <x:c r="F30" s="17"/>
    </x:row>
    <x:row r="31" ht="28" customHeight="1">
      <x:c r="A31" s="17"/>
      <x:c r="B31" s="17"/>
      <x:c r="C31" s="17"/>
      <x:c r="D31" s="17"/>
      <x:c r="E31" s="17"/>
      <x:c r="F31" s="17"/>
    </x:row>
  </x:sheetData>
  <x:mergeCells>
    <x:mergeCell ref="A1:F1"/>
    <x:mergeCell ref="A2:F2"/>
    <x:mergeCell ref="A22:F22"/>
    <x:mergeCell ref="A23:F25"/>
    <x:mergeCell ref="A26:F28"/>
    <x:mergeCell ref="A29:F3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40" customHeight="1">
      <x:c r="A1" s="5" t="str">
        <x:v>數據品質管理｜2024 年合成範例</x:v>
      </x:c>
      <x:c r="B1" s="5"/>
      <x:c r="C1" s="5"/>
      <x:c r="D1" s="5"/>
      <x:c r="E1" s="5"/>
      <x:c r="F1" s="5"/>
      <x:c r="G1" s="3"/>
      <x:c r="H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  <x:c r="H2" s="3"/>
    </x:row>
    <x:row r="3" ht="72" customHeight="1">
      <x:c r="A3" s="3"/>
      <x:c r="B3" s="3"/>
      <x:c r="C3" s="3"/>
      <x:c r="D3" s="3"/>
      <x:c r="E3" s="3"/>
      <x:c r="F3" s="3"/>
      <x:c r="G3" s="3"/>
      <x:c r="H3" s="3"/>
    </x:row>
    <x:row r="4" ht="64" customHeight="1">
      <x:c r="A4" s="9" t="str">
        <x:v>年度 year</x:v>
      </x:c>
      <x:c r="B4" s="9" t="str">
        <x:v>排放源 ID</x:v>
      </x:c>
      <x:c r="C4" s="9" t="str">
        <x:v>activity_quality</x:v>
      </x:c>
      <x:c r="D4" s="9" t="str">
        <x:v>factor_quality</x:v>
      </x:c>
      <x:c r="E4" s="9" t="str">
        <x:v>calibration_evidence</x:v>
      </x:c>
      <x:c r="F4" s="9" t="str">
        <x:v>保存單位</x:v>
      </x:c>
      <x:c r="G4" s="9" t="str">
        <x:v>review_status</x:v>
      </x:c>
      <x:c r="H4" s="9" t="str">
        <x:v>limitation</x:v>
      </x:c>
    </x:row>
    <x:row r="5" ht="72" customHeight="1">
      <x:c r="A5" s="10" t="n">
        <x:v>2024</x:v>
      </x:c>
      <x:c r="B5" s="3" t="str">
        <x:v>boiler</x:v>
      </x:c>
      <x:c r="C5" s="3" t="str">
        <x:v>synthetic-not-rated</x:v>
      </x:c>
      <x:c r="D5" s="3" t="str">
        <x:v>official-values-plus-synthetic-LHV</x:v>
      </x:c>
      <x:c r="E5" s="3" t="str">
        <x:v>not-established</x:v>
      </x:c>
      <x:c r="F5" s="3" t="str">
        <x:v>simulated-facilities-team</x:v>
      </x:c>
      <x:c r="G5" s="3" t="str">
        <x:v>not-human-reviewed</x:v>
      </x:c>
      <x:c r="H5" s="3" t="str">
        <x:v>hashes prove consistency only, not source authenticity</x:v>
      </x:c>
    </x:row>
    <x:row r="6" ht="72" customHeight="1">
      <x:c r="A6" s="10" t="n">
        <x:v>2024</x:v>
      </x:c>
      <x:c r="B6" s="3" t="str">
        <x:v>generator</x:v>
      </x:c>
      <x:c r="C6" s="3" t="str">
        <x:v>synthetic-not-rated</x:v>
      </x:c>
      <x:c r="D6" s="3" t="str">
        <x:v>official-values-plus-synthetic-LHV</x:v>
      </x:c>
      <x:c r="E6" s="3" t="str">
        <x:v>not-established</x:v>
      </x:c>
      <x:c r="F6" s="3" t="str">
        <x:v>simulated-facilities-team</x:v>
      </x:c>
      <x:c r="G6" s="3" t="str">
        <x:v>not-human-reviewed</x:v>
      </x:c>
      <x:c r="H6" s="3" t="str">
        <x:v>hashes prove consistency only, not source authenticity</x:v>
      </x:c>
    </x:row>
    <x:row r="7" ht="72" customHeight="1">
      <x:c r="A7" s="10" t="n">
        <x:v>2024</x:v>
      </x:c>
      <x:c r="B7" s="3" t="str">
        <x:v>new-generator</x:v>
      </x:c>
      <x:c r="C7" s="3" t="str">
        <x:v>synthetic-not-rated</x:v>
      </x:c>
      <x:c r="D7" s="3" t="str">
        <x:v>official-values-plus-synthetic-LHV</x:v>
      </x:c>
      <x:c r="E7" s="3" t="str">
        <x:v>not-established</x:v>
      </x:c>
      <x:c r="F7" s="3" t="str">
        <x:v>simulated-facilities-team</x:v>
      </x:c>
      <x:c r="G7" s="3" t="str">
        <x:v>not-human-reviewed</x:v>
      </x:c>
      <x:c r="H7" s="3" t="str">
        <x:v>hashes prove consistency only, not source authenticity</x:v>
      </x:c>
    </x:row>
    <x:row r="8" ht="72" customHeight="1">
      <x:c r="A8" s="10" t="n">
        <x:v>2024</x:v>
      </x:c>
      <x:c r="B8" s="3" t="str">
        <x:v>cooling</x:v>
      </x:c>
      <x:c r="C8" s="3" t="str">
        <x:v>synthetic-not-rated</x:v>
      </x:c>
      <x:c r="D8" s="3" t="str">
        <x:v>official-values-plus-synthetic-LHV</x:v>
      </x:c>
      <x:c r="E8" s="3" t="str">
        <x:v>not-established</x:v>
      </x:c>
      <x:c r="F8" s="3" t="str">
        <x:v>simulated-facilities-team</x:v>
      </x:c>
      <x:c r="G8" s="3" t="str">
        <x:v>not-human-reviewed</x:v>
      </x:c>
      <x:c r="H8" s="3" t="str">
        <x:v>hashes prove consistency only, not source authenticity</x:v>
      </x:c>
    </x:row>
    <x:row r="9" ht="72" customHeight="1">
      <x:c r="A9" s="10" t="n">
        <x:v>2024</x:v>
      </x:c>
      <x:c r="B9" s="3" t="str">
        <x:v>electricity</x:v>
      </x:c>
      <x:c r="C9" s="3" t="str">
        <x:v>synthetic-not-rated</x:v>
      </x:c>
      <x:c r="D9" s="3" t="str">
        <x:v>official-values-plus-synthetic-LHV</x:v>
      </x:c>
      <x:c r="E9" s="3" t="str">
        <x:v>not-established</x:v>
      </x:c>
      <x:c r="F9" s="3" t="str">
        <x:v>simulated-facilities-team</x:v>
      </x:c>
      <x:c r="G9" s="3" t="str">
        <x:v>not-human-reviewed</x:v>
      </x:c>
      <x:c r="H9" s="3" t="str">
        <x:v>hashes prove consistency only, not source authenticity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40" customHeight="1">
      <x:c r="A1" s="5" t="str">
        <x:v>不確定性評估｜2024 年合成範例</x:v>
      </x:c>
      <x:c r="B1" s="5"/>
      <x:c r="C1" s="5"/>
      <x:c r="D1" s="5"/>
      <x:c r="E1" s="5"/>
      <x:c r="F1" s="5"/>
      <x:c r="G1" s="3"/>
      <x:c r="H1" s="3"/>
      <x:c r="I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  <x:c r="H2" s="3"/>
      <x:c r="I2" s="3"/>
    </x:row>
    <x:row r="3" ht="72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64" customHeight="1">
      <x:c r="A4" s="9" t="str">
        <x:v>年度 year</x:v>
      </x:c>
      <x:c r="B4" s="9" t="str">
        <x:v>排放源 ID</x:v>
      </x:c>
      <x:c r="C4" s="9" t="str">
        <x:v>activity_uncertainty_pct</x:v>
      </x:c>
      <x:c r="D4" s="9" t="str">
        <x:v>factor_uncertainty_pct</x:v>
      </x:c>
      <x:c r="E4" s="9" t="str">
        <x:v>confidence_level</x:v>
      </x:c>
      <x:c r="F4" s="9" t="str">
        <x:v>distribution</x:v>
      </x:c>
      <x:c r="G4" s="9" t="str">
        <x:v>correlation</x:v>
      </x:c>
      <x:c r="H4" s="9" t="str">
        <x:v>status</x:v>
      </x:c>
      <x:c r="I4" s="9" t="str">
        <x:v>reason</x:v>
      </x:c>
    </x:row>
    <x:row r="5" ht="72" customHeight="1">
      <x:c r="A5" s="10" t="n">
        <x:v>2024</x:v>
      </x:c>
      <x:c r="B5" s="3" t="str">
        <x:v>boiler</x:v>
      </x:c>
      <x:c r="C5" s="3" t="str"/>
      <x:c r="D5" s="3" t="str"/>
      <x:c r="E5" s="3" t="str"/>
      <x:c r="F5" s="3" t="str"/>
      <x:c r="G5" s="3" t="str">
        <x:v>unknown</x:v>
      </x:c>
      <x:c r="H5" s="3" t="str">
        <x:v>not-assessed</x:v>
      </x:c>
      <x:c r="I5" s="3" t="str">
        <x:v>no actual instrument calibration, distribution or confidence evidence; blank is not zero</x:v>
      </x:c>
    </x:row>
    <x:row r="6" ht="72" customHeight="1">
      <x:c r="A6" s="10" t="n">
        <x:v>2024</x:v>
      </x:c>
      <x:c r="B6" s="3" t="str">
        <x:v>generator</x:v>
      </x:c>
      <x:c r="C6" s="3" t="str"/>
      <x:c r="D6" s="3" t="str"/>
      <x:c r="E6" s="3" t="str"/>
      <x:c r="F6" s="3" t="str"/>
      <x:c r="G6" s="3" t="str">
        <x:v>unknown</x:v>
      </x:c>
      <x:c r="H6" s="3" t="str">
        <x:v>not-assessed</x:v>
      </x:c>
      <x:c r="I6" s="3" t="str">
        <x:v>no actual instrument calibration, distribution or confidence evidence; blank is not zero</x:v>
      </x:c>
    </x:row>
    <x:row r="7" ht="72" customHeight="1">
      <x:c r="A7" s="10" t="n">
        <x:v>2024</x:v>
      </x:c>
      <x:c r="B7" s="3" t="str">
        <x:v>new-generator</x:v>
      </x:c>
      <x:c r="C7" s="3" t="str"/>
      <x:c r="D7" s="3" t="str"/>
      <x:c r="E7" s="3" t="str"/>
      <x:c r="F7" s="3" t="str"/>
      <x:c r="G7" s="3" t="str">
        <x:v>unknown</x:v>
      </x:c>
      <x:c r="H7" s="3" t="str">
        <x:v>not-assessed</x:v>
      </x:c>
      <x:c r="I7" s="3" t="str">
        <x:v>no actual instrument calibration, distribution or confidence evidence; blank is not zero</x:v>
      </x:c>
    </x:row>
    <x:row r="8" ht="72" customHeight="1">
      <x:c r="A8" s="10" t="n">
        <x:v>2024</x:v>
      </x:c>
      <x:c r="B8" s="3" t="str">
        <x:v>cooling</x:v>
      </x:c>
      <x:c r="C8" s="3" t="str"/>
      <x:c r="D8" s="3" t="str"/>
      <x:c r="E8" s="3" t="str"/>
      <x:c r="F8" s="3" t="str"/>
      <x:c r="G8" s="3" t="str">
        <x:v>unknown</x:v>
      </x:c>
      <x:c r="H8" s="3" t="str">
        <x:v>not-assessed</x:v>
      </x:c>
      <x:c r="I8" s="3" t="str">
        <x:v>no actual instrument calibration, distribution or confidence evidence; blank is not zero</x:v>
      </x:c>
    </x:row>
    <x:row r="9" ht="72" customHeight="1">
      <x:c r="A9" s="10" t="n">
        <x:v>2024</x:v>
      </x:c>
      <x:c r="B9" s="3" t="str">
        <x:v>electricity</x:v>
      </x:c>
      <x:c r="C9" s="3" t="str"/>
      <x:c r="D9" s="3" t="str"/>
      <x:c r="E9" s="3" t="str"/>
      <x:c r="F9" s="3" t="str"/>
      <x:c r="G9" s="3" t="str">
        <x:v>unknown</x:v>
      </x:c>
      <x:c r="H9" s="3" t="str">
        <x:v>not-assessed</x:v>
      </x:c>
      <x:c r="I9" s="3" t="str">
        <x:v>no actual instrument calibration, distribution or confidence evidence; blank is not zero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40" customHeight="1">
      <x:c r="A1" s="5" t="str">
        <x:v>申報彙總欄位｜2024 年合成範例</x:v>
      </x:c>
      <x:c r="B1" s="5"/>
      <x:c r="C1" s="5"/>
      <x:c r="D1" s="5"/>
      <x:c r="E1" s="5"/>
      <x:c r="F1" s="5"/>
      <x:c r="G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</x:row>
    <x:row r="3" ht="72" customHeight="1">
      <x:c r="A3" s="3"/>
      <x:c r="B3" s="3"/>
      <x:c r="C3" s="3"/>
      <x:c r="D3" s="3"/>
      <x:c r="E3" s="3"/>
      <x:c r="F3" s="3"/>
      <x:c r="G3" s="3"/>
    </x:row>
    <x:row r="4" ht="64" customHeight="1">
      <x:c r="A4" s="9" t="str">
        <x:v>年度 year</x:v>
      </x:c>
      <x:c r="B4" s="9" t="str">
        <x:v>direct_kg_co2e</x:v>
      </x:c>
      <x:c r="C4" s="9" t="str">
        <x:v>energy_indirect_kg_co2e</x:v>
      </x:c>
      <x:c r="D4" s="9" t="str">
        <x:v>total_kg_co2e</x:v>
      </x:c>
      <x:c r="E4" s="9" t="str">
        <x:v>total_t_co2e</x:v>
      </x:c>
      <x:c r="F4" s="9" t="str">
        <x:v>boundary</x:v>
      </x:c>
      <x:c r="G4" s="9" t="str">
        <x:v>status</x:v>
      </x:c>
    </x:row>
    <x:row r="5" ht="72" customHeight="1">
      <x:c r="A5" s="10" t="n">
        <x:v>2024</x:v>
      </x:c>
      <x:c r="B5" s="11" t="n">
        <x:f>Overview!B6</x:f>
        <x:v>28964.209243999998</x:v>
      </x:c>
      <x:c r="C5" s="11" t="n">
        <x:f>Overview!B7</x:f>
        <x:v>66265.2</x:v>
      </x:c>
      <x:c r="D5" s="11" t="n">
        <x:f>Overview!B8</x:f>
        <x:v>95229.409244</x:v>
      </x:c>
      <x:c r="E5" s="11" t="n">
        <x:f>Overview!B9</x:f>
        <x:v>95.229409244</x:v>
      </x:c>
      <x:c r="F5" s="3" t="str">
        <x:v>demo-plant; direct + purchased energy</x:v>
      </x:c>
      <x:c r="G5" s="3" t="str">
        <x:v>synthetic-not-assured</x:v>
      </x:c>
    </x:row>
    <x:row r="6" ht="72" customHeight="1">
      <x:c r="A6" s="3"/>
      <x:c r="B6" s="3"/>
      <x:c r="C6" s="3"/>
      <x:c r="D6" s="3"/>
      <x:c r="E6" s="3"/>
      <x:c r="F6" s="3"/>
      <x:c r="G6" s="3"/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30" hidden="0" customWidth="1"/>
    <x:col min="9" max="9" width="24" hidden="0" customWidth="1"/>
  </x:cols>
  <x:sheetData>
    <x:row r="1" ht="40" customHeight="1">
      <x:c r="A1" s="5" t="str">
        <x:v>電力與蒸汽供需｜2024 年合成範例</x:v>
      </x:c>
      <x:c r="B1" s="5"/>
      <x:c r="C1" s="5"/>
      <x:c r="D1" s="5"/>
      <x:c r="E1" s="5"/>
      <x:c r="F1" s="5"/>
      <x:c r="G1" s="3"/>
      <x:c r="H1" s="3"/>
      <x:c r="I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  <x:c r="H2" s="3"/>
      <x:c r="I2" s="3"/>
    </x:row>
    <x:row r="3" ht="72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64" customHeight="1">
      <x:c r="A4" s="9" t="str">
        <x:v>年度 year</x:v>
      </x:c>
      <x:c r="B4" s="9" t="str">
        <x:v>purchased_kwh</x:v>
      </x:c>
      <x:c r="C4" s="9" t="str">
        <x:v>self_generated_kwh</x:v>
      </x:c>
      <x:c r="D4" s="9" t="str">
        <x:v>sold_kwh</x:v>
      </x:c>
      <x:c r="E4" s="9" t="str">
        <x:v>purchased_steam_t</x:v>
      </x:c>
      <x:c r="F4" s="9" t="str">
        <x:v>generated_steam_t</x:v>
      </x:c>
      <x:c r="G4" s="9" t="str">
        <x:v>sold_steam_t</x:v>
      </x:c>
      <x:c r="H4" s="9" t="str">
        <x:v>憑證 ID</x:v>
      </x:c>
      <x:c r="I4" s="9" t="str">
        <x:v>note</x:v>
      </x:c>
    </x:row>
    <x:row r="5" ht="72" customHeight="1">
      <x:c r="A5" s="10" t="n">
        <x:v>2024</x:v>
      </x:c>
      <x:c r="B5" s="11" t="n">
        <x:v>139800</x:v>
      </x:c>
      <x:c r="C5" s="11" t="n">
        <x:v>1440</x:v>
      </x:c>
      <x:c r="D5" s="11" t="n">
        <x:v>0</x:v>
      </x:c>
      <x:c r="E5" s="11" t="n">
        <x:v>0</x:v>
      </x:c>
      <x:c r="F5" s="11" t="n">
        <x:v>0</x:v>
      </x:c>
      <x:c r="G5" s="11" t="n">
        <x:v>0</x:v>
      </x:c>
      <x:c r="H5" s="3" t="str">
        <x:v>scenario</x:v>
      </x:c>
      <x:c r="I5" s="3" t="str">
        <x:v>synthetic generator electricity used onsite; do not add it again as purchased electricity; boiler produces hot water, not steam</x:v>
      </x:c>
    </x:row>
    <x:row r="6" ht="72" customHeight="1">
      <x:c r="A6" s="3"/>
      <x:c r="B6" s="3"/>
      <x:c r="C6" s="3"/>
      <x:c r="D6" s="3"/>
      <x:c r="E6" s="3"/>
      <x:c r="F6" s="3"/>
      <x:c r="G6" s="3"/>
      <x:c r="H6" s="3"/>
      <x:c r="I6" s="3"/>
    </x:row>
  </x:sheetData>
  <x:mergeCells>
    <x:mergeCell ref="A1:F1"/>
    <x:mergeCell ref="A2:F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30" hidden="0" customWidth="1"/>
  </x:cols>
  <x:sheetData>
    <x:row r="1" ht="40" customHeight="1">
      <x:c r="A1" s="5" t="str">
        <x:v>產量與產製期程｜2024 年合成範例</x:v>
      </x:c>
      <x:c r="B1" s="5"/>
      <x:c r="C1" s="5"/>
      <x:c r="D1" s="5"/>
      <x:c r="E1" s="5"/>
      <x:c r="F1" s="5"/>
      <x:c r="G1" s="3"/>
      <x:c r="H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  <x:c r="H2" s="3"/>
    </x:row>
    <x:row r="3" ht="72" customHeight="1">
      <x:c r="A3" s="3"/>
      <x:c r="B3" s="3"/>
      <x:c r="C3" s="3"/>
      <x:c r="D3" s="3"/>
      <x:c r="E3" s="3"/>
      <x:c r="F3" s="3"/>
      <x:c r="G3" s="3"/>
      <x:c r="H3" s="3"/>
    </x:row>
    <x:row r="4" ht="64" customHeight="1">
      <x:c r="A4" s="9" t="str">
        <x:v>年度 year</x:v>
      </x:c>
      <x:c r="B4" s="9" t="str">
        <x:v>process_id</x:v>
      </x:c>
      <x:c r="C4" s="9" t="str">
        <x:v>product</x:v>
      </x:c>
      <x:c r="D4" s="9" t="str">
        <x:v>production</x:v>
      </x:c>
      <x:c r="E4" s="9" t="str">
        <x:v>單位 unit</x:v>
      </x:c>
      <x:c r="F4" s="9" t="str">
        <x:v>operating_days</x:v>
      </x:c>
      <x:c r="G4" s="9" t="str">
        <x:v>hours_per_day</x:v>
      </x:c>
      <x:c r="H4" s="9" t="str">
        <x:v>憑證 ID</x:v>
      </x:c>
    </x:row>
    <x:row r="5" ht="72" customHeight="1">
      <x:c r="A5" s="10" t="n">
        <x:v>2024</x:v>
      </x:c>
      <x:c r="B5" s="3" t="str">
        <x:v>demo-production</x:v>
      </x:c>
      <x:c r="C5" s="3" t="str">
        <x:v>fictional metal components</x:v>
      </x:c>
      <x:c r="D5" s="11" t="n">
        <x:v>13200</x:v>
      </x:c>
      <x:c r="E5" s="3" t="str">
        <x:v>pieces</x:v>
      </x:c>
      <x:c r="F5" s="10" t="n">
        <x:v>250</x:v>
      </x:c>
      <x:c r="G5" s="11" t="n">
        <x:v>8</x:v>
      </x:c>
      <x:c r="H5" s="3" t="str">
        <x:v>scenario</x:v>
      </x:c>
    </x:row>
    <x:row r="6" ht="72" customHeight="1">
      <x:c r="A6" s="3"/>
      <x:c r="B6" s="3"/>
      <x:c r="C6" s="3"/>
      <x:c r="D6" s="3"/>
      <x:c r="E6" s="3"/>
      <x:c r="F6" s="3"/>
      <x:c r="G6" s="3"/>
      <x:c r="H6" s="3"/>
    </x:row>
  </x:sheetData>
  <x:mergeCells>
    <x:mergeCell ref="A1:F1"/>
    <x:mergeCell ref="A2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30" hidden="0" customWidth="1"/>
    <x:col min="11" max="11" width="24" hidden="0" customWidth="1"/>
  </x:cols>
  <x:sheetData>
    <x:row r="1" ht="40" customHeight="1">
      <x:c r="A1" s="5" t="str">
        <x:v>檢測方法與日期｜2024 年合成範例</x:v>
      </x:c>
      <x:c r="B1" s="5"/>
      <x:c r="C1" s="5"/>
      <x:c r="D1" s="5"/>
      <x:c r="E1" s="5"/>
      <x:c r="F1" s="5"/>
      <x:c r="G1" s="3"/>
      <x:c r="H1" s="3"/>
      <x:c r="I1" s="3"/>
      <x:c r="J1" s="3"/>
      <x:c r="K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  <x:c r="H2" s="3"/>
      <x:c r="I2" s="3"/>
      <x:c r="J2" s="3"/>
      <x:c r="K2" s="3"/>
    </x:row>
    <x:row r="3" ht="7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64" customHeight="1">
      <x:c r="A4" s="9" t="str">
        <x:v>年度 year</x:v>
      </x:c>
      <x:c r="B4" s="9" t="str">
        <x:v>排放源 ID</x:v>
      </x:c>
      <x:c r="C4" s="9" t="str">
        <x:v>parameter</x:v>
      </x:c>
      <x:c r="D4" s="9" t="str">
        <x:v>value</x:v>
      </x:c>
      <x:c r="E4" s="9" t="str">
        <x:v>單位 unit</x:v>
      </x:c>
      <x:c r="F4" s="9" t="str">
        <x:v>test_method</x:v>
      </x:c>
      <x:c r="G4" s="9" t="str">
        <x:v>test_date</x:v>
      </x:c>
      <x:c r="H4" s="9" t="str">
        <x:v>laboratory</x:v>
      </x:c>
      <x:c r="I4" s="9" t="str">
        <x:v>qualification</x:v>
      </x:c>
      <x:c r="J4" s="9" t="str">
        <x:v>憑證 ID</x:v>
      </x:c>
      <x:c r="K4" s="9" t="str">
        <x:v>status</x:v>
      </x:c>
    </x:row>
    <x:row r="5" ht="72" customHeight="1">
      <x:c r="A5" s="10" t="n">
        <x:v>2024</x:v>
      </x:c>
      <x:c r="B5" s="3" t="str">
        <x:v>boiler</x:v>
      </x:c>
      <x:c r="C5" s="3" t="str">
        <x:v>lower-heating-value</x:v>
      </x:c>
      <x:c r="D5" s="3" t="str">
        <x:v>38</x:v>
      </x:c>
      <x:c r="E5" s="3" t="str">
        <x:v>MJ/activity-unit</x:v>
      </x:c>
      <x:c r="F5" s="3" t="str">
        <x:v>synthetic-assumption-not-laboratory</x:v>
      </x:c>
      <x:c r="G5" s="3" t="str">
        <x:v>not-performed</x:v>
      </x:c>
      <x:c r="H5" s="3" t="str">
        <x:v>none</x:v>
      </x:c>
      <x:c r="I5" s="3" t="str">
        <x:v>not-established</x:v>
      </x:c>
      <x:c r="J5" s="3" t="str">
        <x:v>scenario</x:v>
      </x:c>
      <x:c r="K5" s="3" t="str">
        <x:v>synthetic-not-measured</x:v>
      </x:c>
    </x:row>
    <x:row r="6" ht="72" customHeight="1">
      <x:c r="A6" s="10" t="n">
        <x:v>2024</x:v>
      </x:c>
      <x:c r="B6" s="3" t="str">
        <x:v>generator</x:v>
      </x:c>
      <x:c r="C6" s="3" t="str">
        <x:v>lower-heating-value</x:v>
      </x:c>
      <x:c r="D6" s="3" t="str">
        <x:v>36</x:v>
      </x:c>
      <x:c r="E6" s="3" t="str">
        <x:v>MJ/activity-unit</x:v>
      </x:c>
      <x:c r="F6" s="3" t="str">
        <x:v>synthetic-assumption-not-laboratory</x:v>
      </x:c>
      <x:c r="G6" s="3" t="str">
        <x:v>not-performed</x:v>
      </x:c>
      <x:c r="H6" s="3" t="str">
        <x:v>none</x:v>
      </x:c>
      <x:c r="I6" s="3" t="str">
        <x:v>not-established</x:v>
      </x:c>
      <x:c r="J6" s="3" t="str">
        <x:v>scenario</x:v>
      </x:c>
      <x:c r="K6" s="3" t="str">
        <x:v>synthetic-not-measured</x:v>
      </x:c>
    </x:row>
    <x:row r="7" ht="72" customHeight="1">
      <x:c r="A7" s="10" t="n">
        <x:v>2024</x:v>
      </x:c>
      <x:c r="B7" s="3" t="str">
        <x:v>new-generator</x:v>
      </x:c>
      <x:c r="C7" s="3" t="str">
        <x:v>lower-heating-value</x:v>
      </x:c>
      <x:c r="D7" s="3" t="str">
        <x:v>36</x:v>
      </x:c>
      <x:c r="E7" s="3" t="str">
        <x:v>MJ/activity-unit</x:v>
      </x:c>
      <x:c r="F7" s="3" t="str">
        <x:v>synthetic-assumption-not-laboratory</x:v>
      </x:c>
      <x:c r="G7" s="3" t="str">
        <x:v>not-performed</x:v>
      </x:c>
      <x:c r="H7" s="3" t="str">
        <x:v>none</x:v>
      </x:c>
      <x:c r="I7" s="3" t="str">
        <x:v>not-established</x:v>
      </x:c>
      <x:c r="J7" s="3" t="str">
        <x:v>scenario</x:v>
      </x:c>
      <x:c r="K7" s="3" t="str">
        <x:v>synthetic-not-measured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30" hidden="0" customWidth="1"/>
    <x:col min="2" max="2" width="24" hidden="0" customWidth="1"/>
    <x:col min="3" max="3" width="30" hidden="0" customWidth="1"/>
    <x:col min="4" max="4" width="24" hidden="0" customWidth="1"/>
    <x:col min="5" max="5" width="24" hidden="0" customWidth="1"/>
    <x:col min="6" max="6" width="30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40" customHeight="1">
      <x:c r="A1" s="5" t="str">
        <x:v>內部憑證索引｜2024 年合成範例</x:v>
      </x:c>
      <x:c r="B1" s="5"/>
      <x:c r="C1" s="5"/>
      <x:c r="D1" s="5"/>
      <x:c r="E1" s="5"/>
      <x:c r="F1" s="5"/>
      <x:c r="G1" s="3"/>
      <x:c r="H1" s="3"/>
      <x:c r="I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  <x:c r="H2" s="3"/>
      <x:c r="I2" s="3"/>
    </x:row>
    <x:row r="3" ht="72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64" customHeight="1">
      <x:c r="A4" s="9" t="str">
        <x:v>憑證 ID</x:v>
      </x:c>
      <x:c r="B4" s="9" t="str">
        <x:v>path</x:v>
      </x:c>
      <x:c r="C4" s="9" t="str">
        <x:v>sha256</x:v>
      </x:c>
      <x:c r="D4" s="9" t="str">
        <x:v>年度 year</x:v>
      </x:c>
      <x:c r="E4" s="9" t="str">
        <x:v>月份 month</x:v>
      </x:c>
      <x:c r="F4" s="9" t="str">
        <x:v>排放源 ID</x:v>
      </x:c>
      <x:c r="G4" s="9" t="str">
        <x:v>保存單位</x:v>
      </x:c>
      <x:c r="H4" s="9" t="str">
        <x:v>是否合成資料</x:v>
      </x:c>
      <x:c r="I4" s="9" t="str">
        <x:v>license</x:v>
      </x:c>
    </x:row>
    <x:row r="5" ht="72" customHeight="1">
      <x:c r="A5" s="3" t="str">
        <x:v>2024-boiler-01</x:v>
      </x:c>
      <x:c r="B5" s="3" t="str">
        <x:v>evidence/2024-boiler-01.json</x:v>
      </x:c>
      <x:c r="C5" s="3" t="str">
        <x:v>9ff0b8012cee9ee0742353d8c99c3bdd47fd11c4f7e852e78f89e7833153fc11</x:v>
      </x:c>
      <x:c r="D5" s="10" t="n">
        <x:v>2024</x:v>
      </x:c>
      <x:c r="E5" s="10" t="n">
        <x:v>1</x:v>
      </x:c>
      <x:c r="F5" s="3" t="str">
        <x:v>boiler</x:v>
      </x:c>
      <x:c r="G5" s="3" t="str">
        <x:v>simulated-facilities-team</x:v>
      </x:c>
      <x:c r="H5" s="3" t="str">
        <x:v>True</x:v>
      </x:c>
      <x:c r="I5" s="3" t="str">
        <x:v>MIT</x:v>
      </x:c>
    </x:row>
    <x:row r="6" ht="72" customHeight="1">
      <x:c r="A6" s="3" t="str">
        <x:v>2024-boiler-02</x:v>
      </x:c>
      <x:c r="B6" s="3" t="str">
        <x:v>evidence/2024-boiler-02.json</x:v>
      </x:c>
      <x:c r="C6" s="3" t="str">
        <x:v>f29cd0de555b0d68bfb51be3d1823b1eb1dc557199bf4d46941626f66f585cdb</x:v>
      </x:c>
      <x:c r="D6" s="10" t="n">
        <x:v>2024</x:v>
      </x:c>
      <x:c r="E6" s="10" t="n">
        <x:v>2</x:v>
      </x:c>
      <x:c r="F6" s="3" t="str">
        <x:v>boiler</x:v>
      </x:c>
      <x:c r="G6" s="3" t="str">
        <x:v>simulated-facilities-team</x:v>
      </x:c>
      <x:c r="H6" s="3" t="str">
        <x:v>True</x:v>
      </x:c>
      <x:c r="I6" s="3" t="str">
        <x:v>MIT</x:v>
      </x:c>
    </x:row>
    <x:row r="7" ht="72" customHeight="1">
      <x:c r="A7" s="3" t="str">
        <x:v>2024-boiler-03</x:v>
      </x:c>
      <x:c r="B7" s="3" t="str">
        <x:v>evidence/2024-boiler-03.json</x:v>
      </x:c>
      <x:c r="C7" s="3" t="str">
        <x:v>1daacc7850dc84546662270b88fda94ab5c16761f3c9d5d749c25ab329e1e914</x:v>
      </x:c>
      <x:c r="D7" s="10" t="n">
        <x:v>2024</x:v>
      </x:c>
      <x:c r="E7" s="10" t="n">
        <x:v>3</x:v>
      </x:c>
      <x:c r="F7" s="3" t="str">
        <x:v>boiler</x:v>
      </x:c>
      <x:c r="G7" s="3" t="str">
        <x:v>simulated-facilities-team</x:v>
      </x:c>
      <x:c r="H7" s="3" t="str">
        <x:v>True</x:v>
      </x:c>
      <x:c r="I7" s="3" t="str">
        <x:v>MIT</x:v>
      </x:c>
    </x:row>
    <x:row r="8" ht="72" customHeight="1">
      <x:c r="A8" s="3" t="str">
        <x:v>2024-boiler-04</x:v>
      </x:c>
      <x:c r="B8" s="3" t="str">
        <x:v>evidence/2024-boiler-04.json</x:v>
      </x:c>
      <x:c r="C8" s="3" t="str">
        <x:v>a620be7e35efa9b2c46bbc97eef2aecfa21a4bd6205d06c7f038142a10efd9a5</x:v>
      </x:c>
      <x:c r="D8" s="10" t="n">
        <x:v>2024</x:v>
      </x:c>
      <x:c r="E8" s="10" t="n">
        <x:v>4</x:v>
      </x:c>
      <x:c r="F8" s="3" t="str">
        <x:v>boiler</x:v>
      </x:c>
      <x:c r="G8" s="3" t="str">
        <x:v>simulated-facilities-team</x:v>
      </x:c>
      <x:c r="H8" s="3" t="str">
        <x:v>True</x:v>
      </x:c>
      <x:c r="I8" s="3" t="str">
        <x:v>MIT</x:v>
      </x:c>
    </x:row>
    <x:row r="9" ht="72" customHeight="1">
      <x:c r="A9" s="3" t="str">
        <x:v>2024-boiler-05</x:v>
      </x:c>
      <x:c r="B9" s="3" t="str">
        <x:v>evidence/2024-boiler-05.json</x:v>
      </x:c>
      <x:c r="C9" s="3" t="str">
        <x:v>988d31a37d8ae83fee832e4d1da0a7e92c4e4a25f092b1e5a5cd4fc617da548c</x:v>
      </x:c>
      <x:c r="D9" s="10" t="n">
        <x:v>2024</x:v>
      </x:c>
      <x:c r="E9" s="10" t="n">
        <x:v>5</x:v>
      </x:c>
      <x:c r="F9" s="3" t="str">
        <x:v>boiler</x:v>
      </x:c>
      <x:c r="G9" s="3" t="str">
        <x:v>simulated-facilities-team</x:v>
      </x:c>
      <x:c r="H9" s="3" t="str">
        <x:v>True</x:v>
      </x:c>
      <x:c r="I9" s="3" t="str">
        <x:v>MIT</x:v>
      </x:c>
    </x:row>
    <x:row r="10" ht="72" customHeight="1">
      <x:c r="A10" s="3" t="str">
        <x:v>2024-boiler-06</x:v>
      </x:c>
      <x:c r="B10" s="3" t="str">
        <x:v>evidence/2024-boiler-06.json</x:v>
      </x:c>
      <x:c r="C10" s="3" t="str">
        <x:v>43386f86a937793094a94a0289ade1f27c0ea6c573e0edfe5aabd8896ff40389</x:v>
      </x:c>
      <x:c r="D10" s="10" t="n">
        <x:v>2024</x:v>
      </x:c>
      <x:c r="E10" s="10" t="n">
        <x:v>6</x:v>
      </x:c>
      <x:c r="F10" s="3" t="str">
        <x:v>boiler</x:v>
      </x:c>
      <x:c r="G10" s="3" t="str">
        <x:v>simulated-facilities-team</x:v>
      </x:c>
      <x:c r="H10" s="3" t="str">
        <x:v>True</x:v>
      </x:c>
      <x:c r="I10" s="3" t="str">
        <x:v>MIT</x:v>
      </x:c>
    </x:row>
    <x:row r="11" ht="72" customHeight="1">
      <x:c r="A11" s="3" t="str">
        <x:v>2024-boiler-07</x:v>
      </x:c>
      <x:c r="B11" s="3" t="str">
        <x:v>evidence/2024-boiler-07.json</x:v>
      </x:c>
      <x:c r="C11" s="3" t="str">
        <x:v>99b90a47814981b9fd543fe08dae1f2898b4b022ce6c8b203660ca2c72776082</x:v>
      </x:c>
      <x:c r="D11" s="10" t="n">
        <x:v>2024</x:v>
      </x:c>
      <x:c r="E11" s="10" t="n">
        <x:v>7</x:v>
      </x:c>
      <x:c r="F11" s="3" t="str">
        <x:v>boiler</x:v>
      </x:c>
      <x:c r="G11" s="3" t="str">
        <x:v>simulated-facilities-team</x:v>
      </x:c>
      <x:c r="H11" s="3" t="str">
        <x:v>True</x:v>
      </x:c>
      <x:c r="I11" s="3" t="str">
        <x:v>MIT</x:v>
      </x:c>
    </x:row>
    <x:row r="12" ht="72" customHeight="1">
      <x:c r="A12" s="3" t="str">
        <x:v>2024-boiler-08</x:v>
      </x:c>
      <x:c r="B12" s="3" t="str">
        <x:v>evidence/2024-boiler-08.json</x:v>
      </x:c>
      <x:c r="C12" s="3" t="str">
        <x:v>78d0946ec1d43756d1a6ea22789e2e7e8b7f80c012b6ce84e01b69de23cae12d</x:v>
      </x:c>
      <x:c r="D12" s="10" t="n">
        <x:v>2024</x:v>
      </x:c>
      <x:c r="E12" s="10" t="n">
        <x:v>8</x:v>
      </x:c>
      <x:c r="F12" s="3" t="str">
        <x:v>boiler</x:v>
      </x:c>
      <x:c r="G12" s="3" t="str">
        <x:v>simulated-facilities-team</x:v>
      </x:c>
      <x:c r="H12" s="3" t="str">
        <x:v>True</x:v>
      </x:c>
      <x:c r="I12" s="3" t="str">
        <x:v>MIT</x:v>
      </x:c>
    </x:row>
    <x:row r="13" ht="72" customHeight="1">
      <x:c r="A13" s="3" t="str">
        <x:v>2024-boiler-09</x:v>
      </x:c>
      <x:c r="B13" s="3" t="str">
        <x:v>evidence/2024-boiler-09.json</x:v>
      </x:c>
      <x:c r="C13" s="3" t="str">
        <x:v>e58b9151d590982ad50976c1416cabe2d632cc59730b88326c020d722f42169c</x:v>
      </x:c>
      <x:c r="D13" s="10" t="n">
        <x:v>2024</x:v>
      </x:c>
      <x:c r="E13" s="10" t="n">
        <x:v>9</x:v>
      </x:c>
      <x:c r="F13" s="3" t="str">
        <x:v>boiler</x:v>
      </x:c>
      <x:c r="G13" s="3" t="str">
        <x:v>simulated-facilities-team</x:v>
      </x:c>
      <x:c r="H13" s="3" t="str">
        <x:v>True</x:v>
      </x:c>
      <x:c r="I13" s="3" t="str">
        <x:v>MIT</x:v>
      </x:c>
    </x:row>
    <x:row r="14" ht="72" customHeight="1">
      <x:c r="A14" s="3" t="str">
        <x:v>2024-boiler-10</x:v>
      </x:c>
      <x:c r="B14" s="3" t="str">
        <x:v>evidence/2024-boiler-10.json</x:v>
      </x:c>
      <x:c r="C14" s="3" t="str">
        <x:v>41a48f674fa6fbb9361232dcfba9350bc69ece4e2c0e427af631de494072e29d</x:v>
      </x:c>
      <x:c r="D14" s="10" t="n">
        <x:v>2024</x:v>
      </x:c>
      <x:c r="E14" s="10" t="n">
        <x:v>10</x:v>
      </x:c>
      <x:c r="F14" s="3" t="str">
        <x:v>boiler</x:v>
      </x:c>
      <x:c r="G14" s="3" t="str">
        <x:v>simulated-facilities-team</x:v>
      </x:c>
      <x:c r="H14" s="3" t="str">
        <x:v>True</x:v>
      </x:c>
      <x:c r="I14" s="3" t="str">
        <x:v>MIT</x:v>
      </x:c>
    </x:row>
    <x:row r="15" ht="72" customHeight="1">
      <x:c r="A15" s="3" t="str">
        <x:v>2024-boiler-11</x:v>
      </x:c>
      <x:c r="B15" s="3" t="str">
        <x:v>evidence/2024-boiler-11.json</x:v>
      </x:c>
      <x:c r="C15" s="3" t="str">
        <x:v>ca694a30b2c2f51420883e4c6500bc03d6a05e73cdd6751708f284d0113608c3</x:v>
      </x:c>
      <x:c r="D15" s="10" t="n">
        <x:v>2024</x:v>
      </x:c>
      <x:c r="E15" s="10" t="n">
        <x:v>11</x:v>
      </x:c>
      <x:c r="F15" s="3" t="str">
        <x:v>boiler</x:v>
      </x:c>
      <x:c r="G15" s="3" t="str">
        <x:v>simulated-facilities-team</x:v>
      </x:c>
      <x:c r="H15" s="3" t="str">
        <x:v>True</x:v>
      </x:c>
      <x:c r="I15" s="3" t="str">
        <x:v>MIT</x:v>
      </x:c>
    </x:row>
    <x:row r="16" ht="72" customHeight="1">
      <x:c r="A16" s="3" t="str">
        <x:v>2024-boiler-12</x:v>
      </x:c>
      <x:c r="B16" s="3" t="str">
        <x:v>evidence/2024-boiler-12.json</x:v>
      </x:c>
      <x:c r="C16" s="3" t="str">
        <x:v>74ec31cd31e9edf75d29425c5beb45098d03bb6c084892e787c0f2f4079c2ae5</x:v>
      </x:c>
      <x:c r="D16" s="10" t="n">
        <x:v>2024</x:v>
      </x:c>
      <x:c r="E16" s="10" t="n">
        <x:v>12</x:v>
      </x:c>
      <x:c r="F16" s="3" t="str">
        <x:v>boiler</x:v>
      </x:c>
      <x:c r="G16" s="3" t="str">
        <x:v>simulated-facilities-team</x:v>
      </x:c>
      <x:c r="H16" s="3" t="str">
        <x:v>True</x:v>
      </x:c>
      <x:c r="I16" s="3" t="str">
        <x:v>MIT</x:v>
      </x:c>
    </x:row>
    <x:row r="17" ht="72" customHeight="1">
      <x:c r="A17" s="3" t="str">
        <x:v>2024-generator-01</x:v>
      </x:c>
      <x:c r="B17" s="3" t="str">
        <x:v>evidence/2024-generator-01.json</x:v>
      </x:c>
      <x:c r="C17" s="3" t="str">
        <x:v>f69f6eb2694e4c070b3bf44bab10d88d8b3feff899bae6e0b99e31a8bc454b5e</x:v>
      </x:c>
      <x:c r="D17" s="10" t="n">
        <x:v>2024</x:v>
      </x:c>
      <x:c r="E17" s="10" t="n">
        <x:v>1</x:v>
      </x:c>
      <x:c r="F17" s="3" t="str">
        <x:v>generator</x:v>
      </x:c>
      <x:c r="G17" s="3" t="str">
        <x:v>simulated-facilities-team</x:v>
      </x:c>
      <x:c r="H17" s="3" t="str">
        <x:v>True</x:v>
      </x:c>
      <x:c r="I17" s="3" t="str">
        <x:v>MIT</x:v>
      </x:c>
    </x:row>
    <x:row r="18" ht="72" customHeight="1">
      <x:c r="A18" s="3" t="str">
        <x:v>2024-generator-02</x:v>
      </x:c>
      <x:c r="B18" s="3" t="str">
        <x:v>evidence/2024-generator-02.json</x:v>
      </x:c>
      <x:c r="C18" s="3" t="str">
        <x:v>fac45df06af4707068e7e936184b4a7bf3a8c4827808c6307b88323d7a821df6</x:v>
      </x:c>
      <x:c r="D18" s="10" t="n">
        <x:v>2024</x:v>
      </x:c>
      <x:c r="E18" s="10" t="n">
        <x:v>2</x:v>
      </x:c>
      <x:c r="F18" s="3" t="str">
        <x:v>generator</x:v>
      </x:c>
      <x:c r="G18" s="3" t="str">
        <x:v>simulated-facilities-team</x:v>
      </x:c>
      <x:c r="H18" s="3" t="str">
        <x:v>True</x:v>
      </x:c>
      <x:c r="I18" s="3" t="str">
        <x:v>MIT</x:v>
      </x:c>
    </x:row>
    <x:row r="19" ht="72" customHeight="1">
      <x:c r="A19" s="3" t="str">
        <x:v>2024-generator-03</x:v>
      </x:c>
      <x:c r="B19" s="3" t="str">
        <x:v>evidence/2024-generator-03.json</x:v>
      </x:c>
      <x:c r="C19" s="3" t="str">
        <x:v>78a8fc881223a1885cb300c5a3377ac966f416d2b92db8072d6d47ad18da03f5</x:v>
      </x:c>
      <x:c r="D19" s="10" t="n">
        <x:v>2024</x:v>
      </x:c>
      <x:c r="E19" s="10" t="n">
        <x:v>3</x:v>
      </x:c>
      <x:c r="F19" s="3" t="str">
        <x:v>generator</x:v>
      </x:c>
      <x:c r="G19" s="3" t="str">
        <x:v>simulated-facilities-team</x:v>
      </x:c>
      <x:c r="H19" s="3" t="str">
        <x:v>True</x:v>
      </x:c>
      <x:c r="I19" s="3" t="str">
        <x:v>MIT</x:v>
      </x:c>
    </x:row>
    <x:row r="20" ht="72" customHeight="1">
      <x:c r="A20" s="3" t="str">
        <x:v>2024-generator-04</x:v>
      </x:c>
      <x:c r="B20" s="3" t="str">
        <x:v>evidence/2024-generator-04.json</x:v>
      </x:c>
      <x:c r="C20" s="3" t="str">
        <x:v>de64212752c0fe831cfea7d2def6beaf4375217973d346ee0be4e195328a8515</x:v>
      </x:c>
      <x:c r="D20" s="10" t="n">
        <x:v>2024</x:v>
      </x:c>
      <x:c r="E20" s="10" t="n">
        <x:v>4</x:v>
      </x:c>
      <x:c r="F20" s="3" t="str">
        <x:v>generator</x:v>
      </x:c>
      <x:c r="G20" s="3" t="str">
        <x:v>simulated-facilities-team</x:v>
      </x:c>
      <x:c r="H20" s="3" t="str">
        <x:v>True</x:v>
      </x:c>
      <x:c r="I20" s="3" t="str">
        <x:v>MIT</x:v>
      </x:c>
    </x:row>
    <x:row r="21" ht="72" customHeight="1">
      <x:c r="A21" s="3" t="str">
        <x:v>2024-generator-05</x:v>
      </x:c>
      <x:c r="B21" s="3" t="str">
        <x:v>evidence/2024-generator-05.json</x:v>
      </x:c>
      <x:c r="C21" s="3" t="str">
        <x:v>2135754e5081e7da451c0bd192820f46ab7319e11f1cbfb203431a3c1bcaeb29</x:v>
      </x:c>
      <x:c r="D21" s="10" t="n">
        <x:v>2024</x:v>
      </x:c>
      <x:c r="E21" s="10" t="n">
        <x:v>5</x:v>
      </x:c>
      <x:c r="F21" s="3" t="str">
        <x:v>generator</x:v>
      </x:c>
      <x:c r="G21" s="3" t="str">
        <x:v>simulated-facilities-team</x:v>
      </x:c>
      <x:c r="H21" s="3" t="str">
        <x:v>True</x:v>
      </x:c>
      <x:c r="I21" s="3" t="str">
        <x:v>MIT</x:v>
      </x:c>
    </x:row>
    <x:row r="22" ht="72" customHeight="1">
      <x:c r="A22" s="3" t="str">
        <x:v>2024-generator-06</x:v>
      </x:c>
      <x:c r="B22" s="3" t="str">
        <x:v>evidence/2024-generator-06.json</x:v>
      </x:c>
      <x:c r="C22" s="3" t="str">
        <x:v>4115213a79b2fb5eed211248c0f279790c0ed338269269c6cacefff1d7978dcc</x:v>
      </x:c>
      <x:c r="D22" s="10" t="n">
        <x:v>2024</x:v>
      </x:c>
      <x:c r="E22" s="10" t="n">
        <x:v>6</x:v>
      </x:c>
      <x:c r="F22" s="3" t="str">
        <x:v>generator</x:v>
      </x:c>
      <x:c r="G22" s="3" t="str">
        <x:v>simulated-facilities-team</x:v>
      </x:c>
      <x:c r="H22" s="3" t="str">
        <x:v>True</x:v>
      </x:c>
      <x:c r="I22" s="3" t="str">
        <x:v>MIT</x:v>
      </x:c>
    </x:row>
    <x:row r="23" ht="72" customHeight="1">
      <x:c r="A23" s="3" t="str">
        <x:v>2024-generator-07</x:v>
      </x:c>
      <x:c r="B23" s="3" t="str">
        <x:v>evidence/2024-generator-07.json</x:v>
      </x:c>
      <x:c r="C23" s="3" t="str">
        <x:v>494d14ab4815d0c177b0ef51ecb69b0152fd780674d3ed3f77218409a9bd3ccb</x:v>
      </x:c>
      <x:c r="D23" s="10" t="n">
        <x:v>2024</x:v>
      </x:c>
      <x:c r="E23" s="10" t="n">
        <x:v>7</x:v>
      </x:c>
      <x:c r="F23" s="3" t="str">
        <x:v>generator</x:v>
      </x:c>
      <x:c r="G23" s="3" t="str">
        <x:v>simulated-facilities-team</x:v>
      </x:c>
      <x:c r="H23" s="3" t="str">
        <x:v>True</x:v>
      </x:c>
      <x:c r="I23" s="3" t="str">
        <x:v>MIT</x:v>
      </x:c>
    </x:row>
    <x:row r="24" ht="72" customHeight="1">
      <x:c r="A24" s="3" t="str">
        <x:v>2024-generator-08</x:v>
      </x:c>
      <x:c r="B24" s="3" t="str">
        <x:v>evidence/2024-generator-08.json</x:v>
      </x:c>
      <x:c r="C24" s="3" t="str">
        <x:v>c97a370ab87e344cc455001024804f9ba5391f71a1012f5db70b387dc257358e</x:v>
      </x:c>
      <x:c r="D24" s="10" t="n">
        <x:v>2024</x:v>
      </x:c>
      <x:c r="E24" s="10" t="n">
        <x:v>8</x:v>
      </x:c>
      <x:c r="F24" s="3" t="str">
        <x:v>generator</x:v>
      </x:c>
      <x:c r="G24" s="3" t="str">
        <x:v>simulated-facilities-team</x:v>
      </x:c>
      <x:c r="H24" s="3" t="str">
        <x:v>True</x:v>
      </x:c>
      <x:c r="I24" s="3" t="str">
        <x:v>MIT</x:v>
      </x:c>
    </x:row>
    <x:row r="25" ht="72" customHeight="1">
      <x:c r="A25" s="3" t="str">
        <x:v>2024-generator-09</x:v>
      </x:c>
      <x:c r="B25" s="3" t="str">
        <x:v>evidence/2024-generator-09.json</x:v>
      </x:c>
      <x:c r="C25" s="3" t="str">
        <x:v>d0ecf89c5bd4264789ceeb37da4e3f3248ba0241cfac4ab4c282184dd27a2a1a</x:v>
      </x:c>
      <x:c r="D25" s="10" t="n">
        <x:v>2024</x:v>
      </x:c>
      <x:c r="E25" s="10" t="n">
        <x:v>9</x:v>
      </x:c>
      <x:c r="F25" s="3" t="str">
        <x:v>generator</x:v>
      </x:c>
      <x:c r="G25" s="3" t="str">
        <x:v>simulated-facilities-team</x:v>
      </x:c>
      <x:c r="H25" s="3" t="str">
        <x:v>True</x:v>
      </x:c>
      <x:c r="I25" s="3" t="str">
        <x:v>MIT</x:v>
      </x:c>
    </x:row>
    <x:row r="26" ht="72" customHeight="1">
      <x:c r="A26" s="3" t="str">
        <x:v>2024-generator-10</x:v>
      </x:c>
      <x:c r="B26" s="3" t="str">
        <x:v>evidence/2024-generator-10.json</x:v>
      </x:c>
      <x:c r="C26" s="3" t="str">
        <x:v>9ae77d2d39aa6651bb84a4699d8ca2696df1f0d757ee2c1edc9b2c1be3c472a4</x:v>
      </x:c>
      <x:c r="D26" s="10" t="n">
        <x:v>2024</x:v>
      </x:c>
      <x:c r="E26" s="10" t="n">
        <x:v>10</x:v>
      </x:c>
      <x:c r="F26" s="3" t="str">
        <x:v>generator</x:v>
      </x:c>
      <x:c r="G26" s="3" t="str">
        <x:v>simulated-facilities-team</x:v>
      </x:c>
      <x:c r="H26" s="3" t="str">
        <x:v>True</x:v>
      </x:c>
      <x:c r="I26" s="3" t="str">
        <x:v>MIT</x:v>
      </x:c>
    </x:row>
    <x:row r="27" ht="72" customHeight="1">
      <x:c r="A27" s="3" t="str">
        <x:v>2024-generator-11</x:v>
      </x:c>
      <x:c r="B27" s="3" t="str">
        <x:v>evidence/2024-generator-11.json</x:v>
      </x:c>
      <x:c r="C27" s="3" t="str">
        <x:v>df9a28cd74fee53063fcacf2d37600bd624698feac6da014c81fcb2e39f82ff5</x:v>
      </x:c>
      <x:c r="D27" s="10" t="n">
        <x:v>2024</x:v>
      </x:c>
      <x:c r="E27" s="10" t="n">
        <x:v>11</x:v>
      </x:c>
      <x:c r="F27" s="3" t="str">
        <x:v>generator</x:v>
      </x:c>
      <x:c r="G27" s="3" t="str">
        <x:v>simulated-facilities-team</x:v>
      </x:c>
      <x:c r="H27" s="3" t="str">
        <x:v>True</x:v>
      </x:c>
      <x:c r="I27" s="3" t="str">
        <x:v>MIT</x:v>
      </x:c>
    </x:row>
    <x:row r="28" ht="72" customHeight="1">
      <x:c r="A28" s="3" t="str">
        <x:v>2024-generator-12</x:v>
      </x:c>
      <x:c r="B28" s="3" t="str">
        <x:v>evidence/2024-generator-12.json</x:v>
      </x:c>
      <x:c r="C28" s="3" t="str">
        <x:v>61755b5055f80c2d3069bf7df75634e1ece4156fdb54ef0eb97a90722815c5cd</x:v>
      </x:c>
      <x:c r="D28" s="10" t="n">
        <x:v>2024</x:v>
      </x:c>
      <x:c r="E28" s="10" t="n">
        <x:v>12</x:v>
      </x:c>
      <x:c r="F28" s="3" t="str">
        <x:v>generator</x:v>
      </x:c>
      <x:c r="G28" s="3" t="str">
        <x:v>simulated-facilities-team</x:v>
      </x:c>
      <x:c r="H28" s="3" t="str">
        <x:v>True</x:v>
      </x:c>
      <x:c r="I28" s="3" t="str">
        <x:v>MIT</x:v>
      </x:c>
    </x:row>
    <x:row r="29" ht="72" customHeight="1">
      <x:c r="A29" s="3" t="str">
        <x:v>2024-new-generator-01</x:v>
      </x:c>
      <x:c r="B29" s="3" t="str">
        <x:v>evidence/2024-new-generator-01.json</x:v>
      </x:c>
      <x:c r="C29" s="3" t="str">
        <x:v>9c3f0bd302eeebff48147f0482b3be654521640c3aad6c4dfed844d55f9bf55c</x:v>
      </x:c>
      <x:c r="D29" s="10" t="n">
        <x:v>2024</x:v>
      </x:c>
      <x:c r="E29" s="10" t="n">
        <x:v>1</x:v>
      </x:c>
      <x:c r="F29" s="3" t="str">
        <x:v>new-generator</x:v>
      </x:c>
      <x:c r="G29" s="3" t="str">
        <x:v>simulated-facilities-team</x:v>
      </x:c>
      <x:c r="H29" s="3" t="str">
        <x:v>True</x:v>
      </x:c>
      <x:c r="I29" s="3" t="str">
        <x:v>MIT</x:v>
      </x:c>
    </x:row>
    <x:row r="30" ht="72" customHeight="1">
      <x:c r="A30" s="3" t="str">
        <x:v>2024-new-generator-02</x:v>
      </x:c>
      <x:c r="B30" s="3" t="str">
        <x:v>evidence/2024-new-generator-02.json</x:v>
      </x:c>
      <x:c r="C30" s="3" t="str">
        <x:v>d541768f7e8171fed52c6beefa91f76e4fa3b1e4662a3f5d05fbe5005df6c258</x:v>
      </x:c>
      <x:c r="D30" s="10" t="n">
        <x:v>2024</x:v>
      </x:c>
      <x:c r="E30" s="10" t="n">
        <x:v>2</x:v>
      </x:c>
      <x:c r="F30" s="3" t="str">
        <x:v>new-generator</x:v>
      </x:c>
      <x:c r="G30" s="3" t="str">
        <x:v>simulated-facilities-team</x:v>
      </x:c>
      <x:c r="H30" s="3" t="str">
        <x:v>True</x:v>
      </x:c>
      <x:c r="I30" s="3" t="str">
        <x:v>MIT</x:v>
      </x:c>
    </x:row>
    <x:row r="31" ht="72" customHeight="1">
      <x:c r="A31" s="3" t="str">
        <x:v>2024-new-generator-03</x:v>
      </x:c>
      <x:c r="B31" s="3" t="str">
        <x:v>evidence/2024-new-generator-03.json</x:v>
      </x:c>
      <x:c r="C31" s="3" t="str">
        <x:v>793cc3e1e1b0e37f772d25a93822e9861e5376b8b30b768ed27fccf8b53064c4</x:v>
      </x:c>
      <x:c r="D31" s="10" t="n">
        <x:v>2024</x:v>
      </x:c>
      <x:c r="E31" s="10" t="n">
        <x:v>3</x:v>
      </x:c>
      <x:c r="F31" s="3" t="str">
        <x:v>new-generator</x:v>
      </x:c>
      <x:c r="G31" s="3" t="str">
        <x:v>simulated-facilities-team</x:v>
      </x:c>
      <x:c r="H31" s="3" t="str">
        <x:v>True</x:v>
      </x:c>
      <x:c r="I31" s="3" t="str">
        <x:v>MIT</x:v>
      </x:c>
    </x:row>
    <x:row r="32" ht="72" customHeight="1">
      <x:c r="A32" s="3" t="str">
        <x:v>2024-new-generator-04</x:v>
      </x:c>
      <x:c r="B32" s="3" t="str">
        <x:v>evidence/2024-new-generator-04.json</x:v>
      </x:c>
      <x:c r="C32" s="3" t="str">
        <x:v>2f2d4aabd7c1b82b634c0262a57e196edfe85c8ea27df88fa79d55c66807bda7</x:v>
      </x:c>
      <x:c r="D32" s="10" t="n">
        <x:v>2024</x:v>
      </x:c>
      <x:c r="E32" s="10" t="n">
        <x:v>4</x:v>
      </x:c>
      <x:c r="F32" s="3" t="str">
        <x:v>new-generator</x:v>
      </x:c>
      <x:c r="G32" s="3" t="str">
        <x:v>simulated-facilities-team</x:v>
      </x:c>
      <x:c r="H32" s="3" t="str">
        <x:v>True</x:v>
      </x:c>
      <x:c r="I32" s="3" t="str">
        <x:v>MIT</x:v>
      </x:c>
    </x:row>
    <x:row r="33" ht="72" customHeight="1">
      <x:c r="A33" s="3" t="str">
        <x:v>2024-new-generator-05</x:v>
      </x:c>
      <x:c r="B33" s="3" t="str">
        <x:v>evidence/2024-new-generator-05.json</x:v>
      </x:c>
      <x:c r="C33" s="3" t="str">
        <x:v>be884e48093d57972eec1611d68c9b2d82b839d673adeb311d48eac2602d465d</x:v>
      </x:c>
      <x:c r="D33" s="10" t="n">
        <x:v>2024</x:v>
      </x:c>
      <x:c r="E33" s="10" t="n">
        <x:v>5</x:v>
      </x:c>
      <x:c r="F33" s="3" t="str">
        <x:v>new-generator</x:v>
      </x:c>
      <x:c r="G33" s="3" t="str">
        <x:v>simulated-facilities-team</x:v>
      </x:c>
      <x:c r="H33" s="3" t="str">
        <x:v>True</x:v>
      </x:c>
      <x:c r="I33" s="3" t="str">
        <x:v>MIT</x:v>
      </x:c>
    </x:row>
    <x:row r="34" ht="72" customHeight="1">
      <x:c r="A34" s="3" t="str">
        <x:v>2024-new-generator-06</x:v>
      </x:c>
      <x:c r="B34" s="3" t="str">
        <x:v>evidence/2024-new-generator-06.json</x:v>
      </x:c>
      <x:c r="C34" s="3" t="str">
        <x:v>adc5d42f7113b5ff9a54bc22d61aa2a8d20292cf51a3da67bdf74019f4f59f23</x:v>
      </x:c>
      <x:c r="D34" s="10" t="n">
        <x:v>2024</x:v>
      </x:c>
      <x:c r="E34" s="10" t="n">
        <x:v>6</x:v>
      </x:c>
      <x:c r="F34" s="3" t="str">
        <x:v>new-generator</x:v>
      </x:c>
      <x:c r="G34" s="3" t="str">
        <x:v>simulated-facilities-team</x:v>
      </x:c>
      <x:c r="H34" s="3" t="str">
        <x:v>True</x:v>
      </x:c>
      <x:c r="I34" s="3" t="str">
        <x:v>MIT</x:v>
      </x:c>
    </x:row>
    <x:row r="35" ht="72" customHeight="1">
      <x:c r="A35" s="3" t="str">
        <x:v>2024-new-generator-07</x:v>
      </x:c>
      <x:c r="B35" s="3" t="str">
        <x:v>evidence/2024-new-generator-07.json</x:v>
      </x:c>
      <x:c r="C35" s="3" t="str">
        <x:v>d8de60fe42448218f3f57c3c3a014a7ba5bff50552e10fcbb1db8746b0948d01</x:v>
      </x:c>
      <x:c r="D35" s="10" t="n">
        <x:v>2024</x:v>
      </x:c>
      <x:c r="E35" s="10" t="n">
        <x:v>7</x:v>
      </x:c>
      <x:c r="F35" s="3" t="str">
        <x:v>new-generator</x:v>
      </x:c>
      <x:c r="G35" s="3" t="str">
        <x:v>simulated-facilities-team</x:v>
      </x:c>
      <x:c r="H35" s="3" t="str">
        <x:v>True</x:v>
      </x:c>
      <x:c r="I35" s="3" t="str">
        <x:v>MIT</x:v>
      </x:c>
    </x:row>
    <x:row r="36" ht="72" customHeight="1">
      <x:c r="A36" s="3" t="str">
        <x:v>2024-new-generator-08</x:v>
      </x:c>
      <x:c r="B36" s="3" t="str">
        <x:v>evidence/2024-new-generator-08.json</x:v>
      </x:c>
      <x:c r="C36" s="3" t="str">
        <x:v>b0fff4b5c70b2cd32b77e90875405410c39b295ddcdaaa6a69ad940087505e42</x:v>
      </x:c>
      <x:c r="D36" s="10" t="n">
        <x:v>2024</x:v>
      </x:c>
      <x:c r="E36" s="10" t="n">
        <x:v>8</x:v>
      </x:c>
      <x:c r="F36" s="3" t="str">
        <x:v>new-generator</x:v>
      </x:c>
      <x:c r="G36" s="3" t="str">
        <x:v>simulated-facilities-team</x:v>
      </x:c>
      <x:c r="H36" s="3" t="str">
        <x:v>True</x:v>
      </x:c>
      <x:c r="I36" s="3" t="str">
        <x:v>MIT</x:v>
      </x:c>
    </x:row>
    <x:row r="37" ht="72" customHeight="1">
      <x:c r="A37" s="3" t="str">
        <x:v>2024-new-generator-09</x:v>
      </x:c>
      <x:c r="B37" s="3" t="str">
        <x:v>evidence/2024-new-generator-09.json</x:v>
      </x:c>
      <x:c r="C37" s="3" t="str">
        <x:v>2197bf6d65b164b2761f13b8e6c4de31a71f0c5c77900f6372f8a66793e31832</x:v>
      </x:c>
      <x:c r="D37" s="10" t="n">
        <x:v>2024</x:v>
      </x:c>
      <x:c r="E37" s="10" t="n">
        <x:v>9</x:v>
      </x:c>
      <x:c r="F37" s="3" t="str">
        <x:v>new-generator</x:v>
      </x:c>
      <x:c r="G37" s="3" t="str">
        <x:v>simulated-facilities-team</x:v>
      </x:c>
      <x:c r="H37" s="3" t="str">
        <x:v>True</x:v>
      </x:c>
      <x:c r="I37" s="3" t="str">
        <x:v>MIT</x:v>
      </x:c>
    </x:row>
    <x:row r="38" ht="72" customHeight="1">
      <x:c r="A38" s="3" t="str">
        <x:v>2024-new-generator-10</x:v>
      </x:c>
      <x:c r="B38" s="3" t="str">
        <x:v>evidence/2024-new-generator-10.json</x:v>
      </x:c>
      <x:c r="C38" s="3" t="str">
        <x:v>506214aab267189fab30c9c59d8067544b5b73644642ee0aa7e3875db473ab33</x:v>
      </x:c>
      <x:c r="D38" s="10" t="n">
        <x:v>2024</x:v>
      </x:c>
      <x:c r="E38" s="10" t="n">
        <x:v>10</x:v>
      </x:c>
      <x:c r="F38" s="3" t="str">
        <x:v>new-generator</x:v>
      </x:c>
      <x:c r="G38" s="3" t="str">
        <x:v>simulated-facilities-team</x:v>
      </x:c>
      <x:c r="H38" s="3" t="str">
        <x:v>True</x:v>
      </x:c>
      <x:c r="I38" s="3" t="str">
        <x:v>MIT</x:v>
      </x:c>
    </x:row>
    <x:row r="39" ht="72" customHeight="1">
      <x:c r="A39" s="3" t="str">
        <x:v>2024-new-generator-11</x:v>
      </x:c>
      <x:c r="B39" s="3" t="str">
        <x:v>evidence/2024-new-generator-11.json</x:v>
      </x:c>
      <x:c r="C39" s="3" t="str">
        <x:v>e35b30e943f1c55c8bc43ab3eb08c63454278e456333b19f905f4eb0d7fd03b4</x:v>
      </x:c>
      <x:c r="D39" s="10" t="n">
        <x:v>2024</x:v>
      </x:c>
      <x:c r="E39" s="10" t="n">
        <x:v>11</x:v>
      </x:c>
      <x:c r="F39" s="3" t="str">
        <x:v>new-generator</x:v>
      </x:c>
      <x:c r="G39" s="3" t="str">
        <x:v>simulated-facilities-team</x:v>
      </x:c>
      <x:c r="H39" s="3" t="str">
        <x:v>True</x:v>
      </x:c>
      <x:c r="I39" s="3" t="str">
        <x:v>MIT</x:v>
      </x:c>
    </x:row>
    <x:row r="40" ht="72" customHeight="1">
      <x:c r="A40" s="3" t="str">
        <x:v>2024-new-generator-12</x:v>
      </x:c>
      <x:c r="B40" s="3" t="str">
        <x:v>evidence/2024-new-generator-12.json</x:v>
      </x:c>
      <x:c r="C40" s="3" t="str">
        <x:v>8bab316b3525c37bfc57563a0aac74d9b2ef2a1e5eb8694b6fa5c6998d71bf1a</x:v>
      </x:c>
      <x:c r="D40" s="10" t="n">
        <x:v>2024</x:v>
      </x:c>
      <x:c r="E40" s="10" t="n">
        <x:v>12</x:v>
      </x:c>
      <x:c r="F40" s="3" t="str">
        <x:v>new-generator</x:v>
      </x:c>
      <x:c r="G40" s="3" t="str">
        <x:v>simulated-facilities-team</x:v>
      </x:c>
      <x:c r="H40" s="3" t="str">
        <x:v>True</x:v>
      </x:c>
      <x:c r="I40" s="3" t="str">
        <x:v>MIT</x:v>
      </x:c>
    </x:row>
    <x:row r="41" ht="72" customHeight="1">
      <x:c r="A41" s="3" t="str">
        <x:v>2024-cooling-01</x:v>
      </x:c>
      <x:c r="B41" s="3" t="str">
        <x:v>evidence/2024-cooling-01.json</x:v>
      </x:c>
      <x:c r="C41" s="3" t="str">
        <x:v>2b9126e3b8ecad2c034e04f1c1a2e528fb607ccdeb953eea2840ff61201cbc6a</x:v>
      </x:c>
      <x:c r="D41" s="10" t="n">
        <x:v>2024</x:v>
      </x:c>
      <x:c r="E41" s="10" t="n">
        <x:v>1</x:v>
      </x:c>
      <x:c r="F41" s="3" t="str">
        <x:v>cooling</x:v>
      </x:c>
      <x:c r="G41" s="3" t="str">
        <x:v>simulated-facilities-team</x:v>
      </x:c>
      <x:c r="H41" s="3" t="str">
        <x:v>True</x:v>
      </x:c>
      <x:c r="I41" s="3" t="str">
        <x:v>MIT</x:v>
      </x:c>
    </x:row>
    <x:row r="42" ht="72" customHeight="1">
      <x:c r="A42" s="3" t="str">
        <x:v>2024-cooling-02</x:v>
      </x:c>
      <x:c r="B42" s="3" t="str">
        <x:v>evidence/2024-cooling-02.json</x:v>
      </x:c>
      <x:c r="C42" s="3" t="str">
        <x:v>c8ef150caa759a0247e1611b78fd93b50cb92049954d04ab488f67510060716c</x:v>
      </x:c>
      <x:c r="D42" s="10" t="n">
        <x:v>2024</x:v>
      </x:c>
      <x:c r="E42" s="10" t="n">
        <x:v>2</x:v>
      </x:c>
      <x:c r="F42" s="3" t="str">
        <x:v>cooling</x:v>
      </x:c>
      <x:c r="G42" s="3" t="str">
        <x:v>simulated-facilities-team</x:v>
      </x:c>
      <x:c r="H42" s="3" t="str">
        <x:v>True</x:v>
      </x:c>
      <x:c r="I42" s="3" t="str">
        <x:v>MIT</x:v>
      </x:c>
    </x:row>
    <x:row r="43" ht="72" customHeight="1">
      <x:c r="A43" s="3" t="str">
        <x:v>2024-cooling-03</x:v>
      </x:c>
      <x:c r="B43" s="3" t="str">
        <x:v>evidence/2024-cooling-03.json</x:v>
      </x:c>
      <x:c r="C43" s="3" t="str">
        <x:v>f168b078d9b8ce4d3f922d65a5ed2e8be54eeb41bfe1dcde4db53b7e6d49eaa0</x:v>
      </x:c>
      <x:c r="D43" s="10" t="n">
        <x:v>2024</x:v>
      </x:c>
      <x:c r="E43" s="10" t="n">
        <x:v>3</x:v>
      </x:c>
      <x:c r="F43" s="3" t="str">
        <x:v>cooling</x:v>
      </x:c>
      <x:c r="G43" s="3" t="str">
        <x:v>simulated-facilities-team</x:v>
      </x:c>
      <x:c r="H43" s="3" t="str">
        <x:v>True</x:v>
      </x:c>
      <x:c r="I43" s="3" t="str">
        <x:v>MIT</x:v>
      </x:c>
    </x:row>
    <x:row r="44" ht="72" customHeight="1">
      <x:c r="A44" s="3" t="str">
        <x:v>2024-cooling-04</x:v>
      </x:c>
      <x:c r="B44" s="3" t="str">
        <x:v>evidence/2024-cooling-04.json</x:v>
      </x:c>
      <x:c r="C44" s="3" t="str">
        <x:v>dfa893ddd0ef74459997ce066451cecac004971a118389208a0288d4b958c431</x:v>
      </x:c>
      <x:c r="D44" s="10" t="n">
        <x:v>2024</x:v>
      </x:c>
      <x:c r="E44" s="10" t="n">
        <x:v>4</x:v>
      </x:c>
      <x:c r="F44" s="3" t="str">
        <x:v>cooling</x:v>
      </x:c>
      <x:c r="G44" s="3" t="str">
        <x:v>simulated-facilities-team</x:v>
      </x:c>
      <x:c r="H44" s="3" t="str">
        <x:v>True</x:v>
      </x:c>
      <x:c r="I44" s="3" t="str">
        <x:v>MIT</x:v>
      </x:c>
    </x:row>
    <x:row r="45" ht="72" customHeight="1">
      <x:c r="A45" s="3" t="str">
        <x:v>2024-cooling-05</x:v>
      </x:c>
      <x:c r="B45" s="3" t="str">
        <x:v>evidence/2024-cooling-05.json</x:v>
      </x:c>
      <x:c r="C45" s="3" t="str">
        <x:v>b19a0fd51046d6e508b2f4ede95d319dff0a5b5a741e5b3e037fa4830ec7bb5d</x:v>
      </x:c>
      <x:c r="D45" s="10" t="n">
        <x:v>2024</x:v>
      </x:c>
      <x:c r="E45" s="10" t="n">
        <x:v>5</x:v>
      </x:c>
      <x:c r="F45" s="3" t="str">
        <x:v>cooling</x:v>
      </x:c>
      <x:c r="G45" s="3" t="str">
        <x:v>simulated-facilities-team</x:v>
      </x:c>
      <x:c r="H45" s="3" t="str">
        <x:v>True</x:v>
      </x:c>
      <x:c r="I45" s="3" t="str">
        <x:v>MIT</x:v>
      </x:c>
    </x:row>
    <x:row r="46" ht="72" customHeight="1">
      <x:c r="A46" s="3" t="str">
        <x:v>2024-cooling-06</x:v>
      </x:c>
      <x:c r="B46" s="3" t="str">
        <x:v>evidence/2024-cooling-06.json</x:v>
      </x:c>
      <x:c r="C46" s="3" t="str">
        <x:v>729c24779e2a2f969faa80a8804d6791afe9dcaef065ef3bb6fd32a86853e69c</x:v>
      </x:c>
      <x:c r="D46" s="10" t="n">
        <x:v>2024</x:v>
      </x:c>
      <x:c r="E46" s="10" t="n">
        <x:v>6</x:v>
      </x:c>
      <x:c r="F46" s="3" t="str">
        <x:v>cooling</x:v>
      </x:c>
      <x:c r="G46" s="3" t="str">
        <x:v>simulated-facilities-team</x:v>
      </x:c>
      <x:c r="H46" s="3" t="str">
        <x:v>True</x:v>
      </x:c>
      <x:c r="I46" s="3" t="str">
        <x:v>MIT</x:v>
      </x:c>
    </x:row>
    <x:row r="47" ht="72" customHeight="1">
      <x:c r="A47" s="3" t="str">
        <x:v>2024-cooling-07</x:v>
      </x:c>
      <x:c r="B47" s="3" t="str">
        <x:v>evidence/2024-cooling-07.json</x:v>
      </x:c>
      <x:c r="C47" s="3" t="str">
        <x:v>b6aa285dd3585b0ff137daac16f24e84b920d2fe39c1c562d33e711fbe0492e3</x:v>
      </x:c>
      <x:c r="D47" s="10" t="n">
        <x:v>2024</x:v>
      </x:c>
      <x:c r="E47" s="10" t="n">
        <x:v>7</x:v>
      </x:c>
      <x:c r="F47" s="3" t="str">
        <x:v>cooling</x:v>
      </x:c>
      <x:c r="G47" s="3" t="str">
        <x:v>simulated-facilities-team</x:v>
      </x:c>
      <x:c r="H47" s="3" t="str">
        <x:v>True</x:v>
      </x:c>
      <x:c r="I47" s="3" t="str">
        <x:v>MIT</x:v>
      </x:c>
    </x:row>
    <x:row r="48" ht="72" customHeight="1">
      <x:c r="A48" s="3" t="str">
        <x:v>2024-cooling-08</x:v>
      </x:c>
      <x:c r="B48" s="3" t="str">
        <x:v>evidence/2024-cooling-08.json</x:v>
      </x:c>
      <x:c r="C48" s="3" t="str">
        <x:v>37b2950bceca641508f893b1b80607bf2ef83befa835bc56cf0acc19a905e2c4</x:v>
      </x:c>
      <x:c r="D48" s="10" t="n">
        <x:v>2024</x:v>
      </x:c>
      <x:c r="E48" s="10" t="n">
        <x:v>8</x:v>
      </x:c>
      <x:c r="F48" s="3" t="str">
        <x:v>cooling</x:v>
      </x:c>
      <x:c r="G48" s="3" t="str">
        <x:v>simulated-facilities-team</x:v>
      </x:c>
      <x:c r="H48" s="3" t="str">
        <x:v>True</x:v>
      </x:c>
      <x:c r="I48" s="3" t="str">
        <x:v>MIT</x:v>
      </x:c>
    </x:row>
    <x:row r="49" ht="72" customHeight="1">
      <x:c r="A49" s="3" t="str">
        <x:v>2024-cooling-09</x:v>
      </x:c>
      <x:c r="B49" s="3" t="str">
        <x:v>evidence/2024-cooling-09.json</x:v>
      </x:c>
      <x:c r="C49" s="3" t="str">
        <x:v>cee565b59451b66bcfc8c8143d53953ee33dcfedd2a00be3419244fa9fbef909</x:v>
      </x:c>
      <x:c r="D49" s="10" t="n">
        <x:v>2024</x:v>
      </x:c>
      <x:c r="E49" s="10" t="n">
        <x:v>9</x:v>
      </x:c>
      <x:c r="F49" s="3" t="str">
        <x:v>cooling</x:v>
      </x:c>
      <x:c r="G49" s="3" t="str">
        <x:v>simulated-facilities-team</x:v>
      </x:c>
      <x:c r="H49" s="3" t="str">
        <x:v>True</x:v>
      </x:c>
      <x:c r="I49" s="3" t="str">
        <x:v>MIT</x:v>
      </x:c>
    </x:row>
    <x:row r="50" ht="72" customHeight="1">
      <x:c r="A50" s="3" t="str">
        <x:v>2024-cooling-10</x:v>
      </x:c>
      <x:c r="B50" s="3" t="str">
        <x:v>evidence/2024-cooling-10.json</x:v>
      </x:c>
      <x:c r="C50" s="3" t="str">
        <x:v>0176db6427aae55bcd389bba3cf885ed25180e16a4847dac52761da48fc5db4a</x:v>
      </x:c>
      <x:c r="D50" s="10" t="n">
        <x:v>2024</x:v>
      </x:c>
      <x:c r="E50" s="10" t="n">
        <x:v>10</x:v>
      </x:c>
      <x:c r="F50" s="3" t="str">
        <x:v>cooling</x:v>
      </x:c>
      <x:c r="G50" s="3" t="str">
        <x:v>simulated-facilities-team</x:v>
      </x:c>
      <x:c r="H50" s="3" t="str">
        <x:v>True</x:v>
      </x:c>
      <x:c r="I50" s="3" t="str">
        <x:v>MIT</x:v>
      </x:c>
    </x:row>
    <x:row r="51" ht="72" customHeight="1">
      <x:c r="A51" s="3" t="str">
        <x:v>2024-cooling-11</x:v>
      </x:c>
      <x:c r="B51" s="3" t="str">
        <x:v>evidence/2024-cooling-11.json</x:v>
      </x:c>
      <x:c r="C51" s="3" t="str">
        <x:v>13b1ff9578062d80a8c37e4efef611206a85b669d62079724cc8adb0c759457f</x:v>
      </x:c>
      <x:c r="D51" s="10" t="n">
        <x:v>2024</x:v>
      </x:c>
      <x:c r="E51" s="10" t="n">
        <x:v>11</x:v>
      </x:c>
      <x:c r="F51" s="3" t="str">
        <x:v>cooling</x:v>
      </x:c>
      <x:c r="G51" s="3" t="str">
        <x:v>simulated-facilities-team</x:v>
      </x:c>
      <x:c r="H51" s="3" t="str">
        <x:v>True</x:v>
      </x:c>
      <x:c r="I51" s="3" t="str">
        <x:v>MIT</x:v>
      </x:c>
    </x:row>
    <x:row r="52" ht="72" customHeight="1">
      <x:c r="A52" s="3" t="str">
        <x:v>2024-cooling-12</x:v>
      </x:c>
      <x:c r="B52" s="3" t="str">
        <x:v>evidence/2024-cooling-12.json</x:v>
      </x:c>
      <x:c r="C52" s="3" t="str">
        <x:v>107ec403defe03cdd0e6051b457e543ead10eafa4c79ccd6bbec9437ed6dcd22</x:v>
      </x:c>
      <x:c r="D52" s="10" t="n">
        <x:v>2024</x:v>
      </x:c>
      <x:c r="E52" s="10" t="n">
        <x:v>12</x:v>
      </x:c>
      <x:c r="F52" s="3" t="str">
        <x:v>cooling</x:v>
      </x:c>
      <x:c r="G52" s="3" t="str">
        <x:v>simulated-facilities-team</x:v>
      </x:c>
      <x:c r="H52" s="3" t="str">
        <x:v>True</x:v>
      </x:c>
      <x:c r="I52" s="3" t="str">
        <x:v>MIT</x:v>
      </x:c>
    </x:row>
    <x:row r="53" ht="72" customHeight="1">
      <x:c r="A53" s="3" t="str">
        <x:v>2024-electricity-01</x:v>
      </x:c>
      <x:c r="B53" s="3" t="str">
        <x:v>evidence/2024-electricity-01.json</x:v>
      </x:c>
      <x:c r="C53" s="3" t="str">
        <x:v>559830fabc7947b223d8454d9d07782b9bd6858885f226c5b54488593d782eea</x:v>
      </x:c>
      <x:c r="D53" s="10" t="n">
        <x:v>2024</x:v>
      </x:c>
      <x:c r="E53" s="10" t="n">
        <x:v>1</x:v>
      </x:c>
      <x:c r="F53" s="3" t="str">
        <x:v>electricity</x:v>
      </x:c>
      <x:c r="G53" s="3" t="str">
        <x:v>simulated-facilities-team</x:v>
      </x:c>
      <x:c r="H53" s="3" t="str">
        <x:v>True</x:v>
      </x:c>
      <x:c r="I53" s="3" t="str">
        <x:v>MIT</x:v>
      </x:c>
    </x:row>
    <x:row r="54" ht="72" customHeight="1">
      <x:c r="A54" s="3" t="str">
        <x:v>2024-electricity-02</x:v>
      </x:c>
      <x:c r="B54" s="3" t="str">
        <x:v>evidence/2024-electricity-02.json</x:v>
      </x:c>
      <x:c r="C54" s="3" t="str">
        <x:v>f21e8579d7257e6edd55df0a4189359903239df7c139362561f8d69d5f36287e</x:v>
      </x:c>
      <x:c r="D54" s="10" t="n">
        <x:v>2024</x:v>
      </x:c>
      <x:c r="E54" s="10" t="n">
        <x:v>2</x:v>
      </x:c>
      <x:c r="F54" s="3" t="str">
        <x:v>electricity</x:v>
      </x:c>
      <x:c r="G54" s="3" t="str">
        <x:v>simulated-facilities-team</x:v>
      </x:c>
      <x:c r="H54" s="3" t="str">
        <x:v>True</x:v>
      </x:c>
      <x:c r="I54" s="3" t="str">
        <x:v>MIT</x:v>
      </x:c>
    </x:row>
    <x:row r="55" ht="72" customHeight="1">
      <x:c r="A55" s="3" t="str">
        <x:v>2024-electricity-03</x:v>
      </x:c>
      <x:c r="B55" s="3" t="str">
        <x:v>evidence/2024-electricity-03.json</x:v>
      </x:c>
      <x:c r="C55" s="3" t="str">
        <x:v>a26d84007c0b94ed53c5c2b9694696956ce5c41110e840821b67830d273f1167</x:v>
      </x:c>
      <x:c r="D55" s="10" t="n">
        <x:v>2024</x:v>
      </x:c>
      <x:c r="E55" s="10" t="n">
        <x:v>3</x:v>
      </x:c>
      <x:c r="F55" s="3" t="str">
        <x:v>electricity</x:v>
      </x:c>
      <x:c r="G55" s="3" t="str">
        <x:v>simulated-facilities-team</x:v>
      </x:c>
      <x:c r="H55" s="3" t="str">
        <x:v>True</x:v>
      </x:c>
      <x:c r="I55" s="3" t="str">
        <x:v>MIT</x:v>
      </x:c>
    </x:row>
    <x:row r="56" ht="72" customHeight="1">
      <x:c r="A56" s="3" t="str">
        <x:v>2024-electricity-04</x:v>
      </x:c>
      <x:c r="B56" s="3" t="str">
        <x:v>evidence/2024-electricity-04.json</x:v>
      </x:c>
      <x:c r="C56" s="3" t="str">
        <x:v>68fd51e6f9bcbcac379372a222c5a0f3db64510e89a38ad697487dd2c94fd328</x:v>
      </x:c>
      <x:c r="D56" s="10" t="n">
        <x:v>2024</x:v>
      </x:c>
      <x:c r="E56" s="10" t="n">
        <x:v>4</x:v>
      </x:c>
      <x:c r="F56" s="3" t="str">
        <x:v>electricity</x:v>
      </x:c>
      <x:c r="G56" s="3" t="str">
        <x:v>simulated-facilities-team</x:v>
      </x:c>
      <x:c r="H56" s="3" t="str">
        <x:v>True</x:v>
      </x:c>
      <x:c r="I56" s="3" t="str">
        <x:v>MIT</x:v>
      </x:c>
    </x:row>
    <x:row r="57" ht="72" customHeight="1">
      <x:c r="A57" s="3" t="str">
        <x:v>2024-electricity-05</x:v>
      </x:c>
      <x:c r="B57" s="3" t="str">
        <x:v>evidence/2024-electricity-05.json</x:v>
      </x:c>
      <x:c r="C57" s="3" t="str">
        <x:v>9d222579d1eac7835ca7e8be11e96fd76605924900d3c809067cd7272d327f11</x:v>
      </x:c>
      <x:c r="D57" s="10" t="n">
        <x:v>2024</x:v>
      </x:c>
      <x:c r="E57" s="10" t="n">
        <x:v>5</x:v>
      </x:c>
      <x:c r="F57" s="3" t="str">
        <x:v>electricity</x:v>
      </x:c>
      <x:c r="G57" s="3" t="str">
        <x:v>simulated-facilities-team</x:v>
      </x:c>
      <x:c r="H57" s="3" t="str">
        <x:v>True</x:v>
      </x:c>
      <x:c r="I57" s="3" t="str">
        <x:v>MIT</x:v>
      </x:c>
    </x:row>
    <x:row r="58" ht="72" customHeight="1">
      <x:c r="A58" s="3" t="str">
        <x:v>2024-electricity-06</x:v>
      </x:c>
      <x:c r="B58" s="3" t="str">
        <x:v>evidence/2024-electricity-06.json</x:v>
      </x:c>
      <x:c r="C58" s="3" t="str">
        <x:v>70a8f8864879cd1df9242679073fb314befde634f25dd2cdc554bb4980a7b6ae</x:v>
      </x:c>
      <x:c r="D58" s="10" t="n">
        <x:v>2024</x:v>
      </x:c>
      <x:c r="E58" s="10" t="n">
        <x:v>6</x:v>
      </x:c>
      <x:c r="F58" s="3" t="str">
        <x:v>electricity</x:v>
      </x:c>
      <x:c r="G58" s="3" t="str">
        <x:v>simulated-facilities-team</x:v>
      </x:c>
      <x:c r="H58" s="3" t="str">
        <x:v>True</x:v>
      </x:c>
      <x:c r="I58" s="3" t="str">
        <x:v>MIT</x:v>
      </x:c>
    </x:row>
    <x:row r="59" ht="72" customHeight="1">
      <x:c r="A59" s="3" t="str">
        <x:v>2024-electricity-07</x:v>
      </x:c>
      <x:c r="B59" s="3" t="str">
        <x:v>evidence/2024-electricity-07.json</x:v>
      </x:c>
      <x:c r="C59" s="3" t="str">
        <x:v>c4565efae48c538862b2eec5bb18024d83caa309b0a03e44dc0954e5deb3e4a9</x:v>
      </x:c>
      <x:c r="D59" s="10" t="n">
        <x:v>2024</x:v>
      </x:c>
      <x:c r="E59" s="10" t="n">
        <x:v>7</x:v>
      </x:c>
      <x:c r="F59" s="3" t="str">
        <x:v>electricity</x:v>
      </x:c>
      <x:c r="G59" s="3" t="str">
        <x:v>simulated-facilities-team</x:v>
      </x:c>
      <x:c r="H59" s="3" t="str">
        <x:v>True</x:v>
      </x:c>
      <x:c r="I59" s="3" t="str">
        <x:v>MIT</x:v>
      </x:c>
    </x:row>
    <x:row r="60" ht="72" customHeight="1">
      <x:c r="A60" s="3" t="str">
        <x:v>2024-electricity-08</x:v>
      </x:c>
      <x:c r="B60" s="3" t="str">
        <x:v>evidence/2024-electricity-08.json</x:v>
      </x:c>
      <x:c r="C60" s="3" t="str">
        <x:v>b4bd82d6ce9f3e1ea99aa716e064d352c0fabd0f3ccfe5f63bb3f1217a1c1fa1</x:v>
      </x:c>
      <x:c r="D60" s="10" t="n">
        <x:v>2024</x:v>
      </x:c>
      <x:c r="E60" s="10" t="n">
        <x:v>8</x:v>
      </x:c>
      <x:c r="F60" s="3" t="str">
        <x:v>electricity</x:v>
      </x:c>
      <x:c r="G60" s="3" t="str">
        <x:v>simulated-facilities-team</x:v>
      </x:c>
      <x:c r="H60" s="3" t="str">
        <x:v>True</x:v>
      </x:c>
      <x:c r="I60" s="3" t="str">
        <x:v>MIT</x:v>
      </x:c>
    </x:row>
    <x:row r="61" ht="72" customHeight="1">
      <x:c r="A61" s="3" t="str">
        <x:v>2024-electricity-09</x:v>
      </x:c>
      <x:c r="B61" s="3" t="str">
        <x:v>evidence/2024-electricity-09.json</x:v>
      </x:c>
      <x:c r="C61" s="3" t="str">
        <x:v>3a2bbcaf1b51f077ce60629320516618abda0ecfc71cf7b5add84d866cbdc776</x:v>
      </x:c>
      <x:c r="D61" s="10" t="n">
        <x:v>2024</x:v>
      </x:c>
      <x:c r="E61" s="10" t="n">
        <x:v>9</x:v>
      </x:c>
      <x:c r="F61" s="3" t="str">
        <x:v>electricity</x:v>
      </x:c>
      <x:c r="G61" s="3" t="str">
        <x:v>simulated-facilities-team</x:v>
      </x:c>
      <x:c r="H61" s="3" t="str">
        <x:v>True</x:v>
      </x:c>
      <x:c r="I61" s="3" t="str">
        <x:v>MIT</x:v>
      </x:c>
    </x:row>
    <x:row r="62" ht="72" customHeight="1">
      <x:c r="A62" s="3" t="str">
        <x:v>2024-electricity-10</x:v>
      </x:c>
      <x:c r="B62" s="3" t="str">
        <x:v>evidence/2024-electricity-10.json</x:v>
      </x:c>
      <x:c r="C62" s="3" t="str">
        <x:v>e6f134b2bb52c2a9f0bfc36ce2961f0fbb294a9a5626aeb16caa289c6905738c</x:v>
      </x:c>
      <x:c r="D62" s="10" t="n">
        <x:v>2024</x:v>
      </x:c>
      <x:c r="E62" s="10" t="n">
        <x:v>10</x:v>
      </x:c>
      <x:c r="F62" s="3" t="str">
        <x:v>electricity</x:v>
      </x:c>
      <x:c r="G62" s="3" t="str">
        <x:v>simulated-facilities-team</x:v>
      </x:c>
      <x:c r="H62" s="3" t="str">
        <x:v>True</x:v>
      </x:c>
      <x:c r="I62" s="3" t="str">
        <x:v>MIT</x:v>
      </x:c>
    </x:row>
    <x:row r="63" ht="72" customHeight="1">
      <x:c r="A63" s="3" t="str">
        <x:v>2024-electricity-11</x:v>
      </x:c>
      <x:c r="B63" s="3" t="str">
        <x:v>evidence/2024-electricity-11.json</x:v>
      </x:c>
      <x:c r="C63" s="3" t="str">
        <x:v>681c07867119e1050e9a06164140643ea89b476bb6d5b3f5698e025baf915e32</x:v>
      </x:c>
      <x:c r="D63" s="10" t="n">
        <x:v>2024</x:v>
      </x:c>
      <x:c r="E63" s="10" t="n">
        <x:v>11</x:v>
      </x:c>
      <x:c r="F63" s="3" t="str">
        <x:v>electricity</x:v>
      </x:c>
      <x:c r="G63" s="3" t="str">
        <x:v>simulated-facilities-team</x:v>
      </x:c>
      <x:c r="H63" s="3" t="str">
        <x:v>True</x:v>
      </x:c>
      <x:c r="I63" s="3" t="str">
        <x:v>MIT</x:v>
      </x:c>
    </x:row>
    <x:row r="64" ht="72" customHeight="1">
      <x:c r="A64" s="3" t="str">
        <x:v>2024-electricity-12</x:v>
      </x:c>
      <x:c r="B64" s="3" t="str">
        <x:v>evidence/2024-electricity-12.json</x:v>
      </x:c>
      <x:c r="C64" s="3" t="str">
        <x:v>a09989677e100b61d3255023bda176f1e8a5ab3b81a6ff63aa2f96c27aa211f1</x:v>
      </x:c>
      <x:c r="D64" s="10" t="n">
        <x:v>2024</x:v>
      </x:c>
      <x:c r="E64" s="10" t="n">
        <x:v>12</x:v>
      </x:c>
      <x:c r="F64" s="3" t="str">
        <x:v>electricity</x:v>
      </x:c>
      <x:c r="G64" s="3" t="str">
        <x:v>simulated-facilities-team</x:v>
      </x:c>
      <x:c r="H64" s="3" t="str">
        <x:v>True</x:v>
      </x:c>
      <x:c r="I64" s="3" t="str">
        <x:v>MIT</x:v>
      </x:c>
    </x:row>
    <x:row r="65" ht="72" customHeight="1">
      <x:c r="A65" s="3" t="str">
        <x:v>scenario</x:v>
      </x:c>
      <x:c r="B65" s="3" t="str">
        <x:v>evidence/scenario.json</x:v>
      </x:c>
      <x:c r="C65" s="3" t="str">
        <x:v>b7daf012e6a5ae64750127f988f5b923d9d37d967429054077824526f06e984b</x:v>
      </x:c>
      <x:c r="D65" s="10" t="n">
        <x:v>2024</x:v>
      </x:c>
      <x:c r="E65" s="10" t="str">
        <x:v>annual</x:v>
      </x:c>
      <x:c r="F65" s="3" t="str">
        <x:v>all</x:v>
      </x:c>
      <x:c r="G65" s="3" t="str">
        <x:v>simulated-coordinator</x:v>
      </x:c>
      <x:c r="H65" s="3" t="str">
        <x:v>True</x:v>
      </x:c>
      <x:c r="I65" s="3" t="str">
        <x:v>MIT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30" hidden="0" customWidth="1"/>
    <x:col min="8" max="8" width="24" hidden="0" customWidth="1"/>
    <x:col min="9" max="9" width="24" hidden="0" customWidth="1"/>
  </x:cols>
  <x:sheetData>
    <x:row r="1" ht="40" customHeight="1">
      <x:c r="A1" s="5" t="str">
        <x:v>內部變更紀錄｜2024 年合成範例</x:v>
      </x:c>
      <x:c r="B1" s="5"/>
      <x:c r="C1" s="5"/>
      <x:c r="D1" s="5"/>
      <x:c r="E1" s="5"/>
      <x:c r="F1" s="5"/>
      <x:c r="G1" s="3"/>
      <x:c r="H1" s="3"/>
      <x:c r="I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  <x:c r="H2" s="3"/>
      <x:c r="I2" s="3"/>
    </x:row>
    <x:row r="3" ht="72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64" customHeight="1">
      <x:c r="A4" s="9" t="str">
        <x:v>change_id</x:v>
      </x:c>
      <x:c r="B4" s="9" t="str">
        <x:v>排放源 ID</x:v>
      </x:c>
      <x:c r="C4" s="9" t="str">
        <x:v>effective_date</x:v>
      </x:c>
      <x:c r="D4" s="9" t="str">
        <x:v>change_type</x:v>
      </x:c>
      <x:c r="E4" s="9" t="str">
        <x:v>before</x:v>
      </x:c>
      <x:c r="F4" s="9" t="str">
        <x:v>after</x:v>
      </x:c>
      <x:c r="G4" s="9" t="str">
        <x:v>憑證 ID</x:v>
      </x:c>
      <x:c r="H4" s="9" t="str">
        <x:v>comparability</x:v>
      </x:c>
      <x:c r="I4" s="9" t="str">
        <x:v>review_status</x:v>
      </x:c>
    </x:row>
    <x:row r="5" ht="72" customHeight="1">
      <x:c r="A5" s="3" t="str">
        <x:v>new-equipment-2024</x:v>
      </x:c>
      <x:c r="B5" s="3" t="str">
        <x:v>new-generator</x:v>
      </x:c>
      <x:c r="C5" s="3" t="str">
        <x:v>2024-07-01</x:v>
      </x:c>
      <x:c r="D5" s="3" t="str">
        <x:v>organic-equipment-addition</x:v>
      </x:c>
      <x:c r="E5" s="3" t="str">
        <x:v>not installed</x:v>
      </x:c>
      <x:c r="F5" s="3" t="str">
        <x:v>installed; six months consumption</x:v>
      </x:c>
      <x:c r="G5" s="3" t="str">
        <x:v>scenario</x:v>
      </x:c>
      <x:c r="H5" s="3" t="str">
        <x:v>same plant boundary, source composition changed; not acquisition</x:v>
      </x:c>
      <x:c r="I5" s="3" t="str">
        <x:v>synthetic-not-human-reviewed</x:v>
      </x:c>
    </x:row>
    <x:row r="6" ht="72" customHeight="1">
      <x:c r="A6" s="3" t="str">
        <x:v>electricity-vintage-2024</x:v>
      </x:c>
      <x:c r="B6" s="3" t="str">
        <x:v>electricity</x:v>
      </x:c>
      <x:c r="C6" s="3" t="str">
        <x:v>2024-01-01</x:v>
      </x:c>
      <x:c r="D6" s="3" t="str">
        <x:v>factor-vintage-change</x:v>
      </x:c>
      <x:c r="E6" s="3" t="str">
        <x:v>0.494 kgCO2e/kWh</x:v>
      </x:c>
      <x:c r="F6" s="3" t="str">
        <x:v>0.474 kgCO2e/kWh</x:v>
      </x:c>
      <x:c r="G6" s="3" t="str">
        <x:v>scenario</x:v>
      </x:c>
      <x:c r="H6" s="3" t="str">
        <x:v>activity-first/factor-second convention; not uniquely causal abatement</x:v>
      </x:c>
      <x:c r="I6" s="3" t="str">
        <x:v>synthetic-not-human-reviewed</x:v>
      </x:c>
    </x:row>
  </x:sheetData>
  <x:mergeCells>
    <x:mergeCell ref="A1:F1"/>
    <x:mergeCell ref="A2:F2"/>
  </x:mergeCells>
  <x:pageMargins left="0.7" right="0.7" top="0.75" bottom="0.75" header="0.3" footer="0.3"/>
</x:worksheet>
</file>