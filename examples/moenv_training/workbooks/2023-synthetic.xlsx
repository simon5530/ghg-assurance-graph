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8d79e6c34b40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461f2a9056b4d7c"/>
    <x:sheet xmlns:r="http://schemas.openxmlformats.org/officeDocument/2006/relationships" name="01 Entity" sheetId="2" r:id="Rf92531a238dd4df9"/>
    <x:sheet xmlns:r="http://schemas.openxmlformats.org/officeDocument/2006/relationships" name="02 Boundary" sheetId="3" r:id="R5b66b3d02aec47bd"/>
    <x:sheet xmlns:r="http://schemas.openxmlformats.org/officeDocument/2006/relationships" name="03 Sources" sheetId="4" r:id="Raff2778553f64ede"/>
    <x:sheet xmlns:r="http://schemas.openxmlformats.org/officeDocument/2006/relationships" name="04 Activity" sheetId="5" r:id="R570aaf8807df44a0"/>
    <x:sheet xmlns:r="http://schemas.openxmlformats.org/officeDocument/2006/relationships" name="05 Calculation" sheetId="6" r:id="Reaf89839f90e4bb5"/>
    <x:sheet xmlns:r="http://schemas.openxmlformats.org/officeDocument/2006/relationships" name="06 Quality" sheetId="7" r:id="Re168784f998346c7"/>
    <x:sheet xmlns:r="http://schemas.openxmlformats.org/officeDocument/2006/relationships" name="07 Uncertainty" sheetId="8" r:id="R0cfdaba885694c45"/>
    <x:sheet xmlns:r="http://schemas.openxmlformats.org/officeDocument/2006/relationships" name="08 Filing summary" sheetId="9" r:id="R96094f7672c24534"/>
    <x:sheet xmlns:r="http://schemas.openxmlformats.org/officeDocument/2006/relationships" name="09 Energy" sheetId="10" r:id="Re31b647484f24097"/>
    <x:sheet xmlns:r="http://schemas.openxmlformats.org/officeDocument/2006/relationships" name="10 Production" sheetId="11" r:id="Re6060830acc34ca2"/>
    <x:sheet xmlns:r="http://schemas.openxmlformats.org/officeDocument/2006/relationships" name="11 Tests" sheetId="12" r:id="Rae508e13081e4928"/>
    <x:sheet xmlns:r="http://schemas.openxmlformats.org/officeDocument/2006/relationships" name="12 Evidence" sheetId="13" r:id="Racc8843fe9034b08"/>
    <x:sheet xmlns:r="http://schemas.openxmlformats.org/officeDocument/2006/relationships" name="13 Changes" sheetId="14" r:id="Raa74a7eb2d3246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11">
    <x:font>
      <x:sz val="11"/>
      <x:name val="Carlito"/>
    </x:font>
    <x:font>
      <x:sz val="11"/>
      <x:name val="Arial"/>
    </x:font>
    <x:font>
      <x:b/>
      <x:sz val="16"/>
      <x:color rgb="FFFFFFFF"/>
      <x:name val="Arial"/>
    </x:font>
    <x:font>
      <x:sz val="11"/>
      <x:color rgb="FF674A0E"/>
      <x:name val="Arial"/>
    </x:font>
    <x:font>
      <x:b/>
      <x:sz val="11"/>
      <x:color rgb="FF113E4B"/>
      <x:name val="Arial"/>
    </x:font>
    <x:font>
      <x:sz val="11"/>
      <x:color rgb="FF146BB3"/>
      <x:name val="Arial"/>
    </x:font>
    <x:font>
      <x:b/>
      <x:sz val="11"/>
      <x:color rgb="FF113E4B"/>
      <x:name val="Carlito"/>
    </x:font>
    <x:font>
      <x:sz val="11"/>
      <x:color rgb="FF674A0E"/>
      <x:name val="Carlito"/>
    </x:font>
    <x:font>
      <x:b/>
      <x:sz val="18"/>
      <x:color rgb="FFFFFFFF"/>
      <x:name val="Arial"/>
    </x:font>
    <x:font>
      <x:sz val="12"/>
      <x:color rgb="FF674A0E"/>
      <x:name val="Carlito"/>
    </x:font>
    <x:font>
      <x:sz val="12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13E4B"/>
      </x:patternFill>
    </x:fill>
    <x:fill>
      <x:patternFill patternType="solid">
        <x:fgColor rgb="FFFFF3D6"/>
      </x:patternFill>
    </x:fill>
    <x:fill>
      <x:patternFill patternType="solid">
        <x:fgColor rgb="FFDCECF0"/>
      </x:patternFill>
    </x:fill>
    <x:fill>
      <x:patternFill patternType="solid">
        <x:fgColor rgb="FFE9F4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0" fillId="3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201" fontId="1" fillId="5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8" fillId="2" borderId="0" xfId="0" applyNumberFormat="1" applyFont="1" applyFill="1" applyBorder="1"/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center" wrapText="1"/>
    </x:xf>
    <x:xf numFmtId="201" fontId="10" fillId="0" borderId="0" xfId="0" applyNumberFormat="1" applyFont="1" applyFill="1" applyBorder="1" applyAlignment="1">
      <x:alignment vertical="center" wrapText="1"/>
    </x:xf>
    <x:xf numFmtId="0" fontId="10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d8ae7d934f4897" /><Relationship Type="http://schemas.openxmlformats.org/officeDocument/2006/relationships/theme" Target="/xl/theme/theme1.xml" Id="Rc368f2adf0c54c9f" /><Relationship Type="http://schemas.openxmlformats.org/officeDocument/2006/relationships/sharedStrings" Target="/xl/sharedStrings.xml" Id="Rb96fba456fcc4d52" /><Relationship Type="http://schemas.openxmlformats.org/officeDocument/2006/relationships/worksheet" Target="/xl/worksheets/sheet1.xml" Id="R1461f2a9056b4d7c" /><Relationship Type="http://schemas.openxmlformats.org/officeDocument/2006/relationships/worksheet" Target="/xl/worksheets/sheet2.xml" Id="Rf92531a238dd4df9" /><Relationship Type="http://schemas.openxmlformats.org/officeDocument/2006/relationships/worksheet" Target="/xl/worksheets/sheet3.xml" Id="R5b66b3d02aec47bd" /><Relationship Type="http://schemas.openxmlformats.org/officeDocument/2006/relationships/worksheet" Target="/xl/worksheets/sheet4.xml" Id="Raff2778553f64ede" /><Relationship Type="http://schemas.openxmlformats.org/officeDocument/2006/relationships/worksheet" Target="/xl/worksheets/sheet5.xml" Id="R570aaf8807df44a0" /><Relationship Type="http://schemas.openxmlformats.org/officeDocument/2006/relationships/worksheet" Target="/xl/worksheets/sheet6.xml" Id="Reaf89839f90e4bb5" /><Relationship Type="http://schemas.openxmlformats.org/officeDocument/2006/relationships/worksheet" Target="/xl/worksheets/sheet7.xml" Id="Re168784f998346c7" /><Relationship Type="http://schemas.openxmlformats.org/officeDocument/2006/relationships/worksheet" Target="/xl/worksheets/sheet8.xml" Id="R0cfdaba885694c45" /><Relationship Type="http://schemas.openxmlformats.org/officeDocument/2006/relationships/worksheet" Target="/xl/worksheets/sheet9.xml" Id="R96094f7672c24534" /><Relationship Type="http://schemas.openxmlformats.org/officeDocument/2006/relationships/worksheet" Target="/xl/worksheets/sheet10.xml" Id="Re31b647484f24097" /><Relationship Type="http://schemas.openxmlformats.org/officeDocument/2006/relationships/worksheet" Target="/xl/worksheets/sheet11.xml" Id="Re6060830acc34ca2" /><Relationship Type="http://schemas.openxmlformats.org/officeDocument/2006/relationships/worksheet" Target="/xl/worksheets/sheet12.xml" Id="Rae508e13081e4928" /><Relationship Type="http://schemas.openxmlformats.org/officeDocument/2006/relationships/worksheet" Target="/xl/worksheets/sheet13.xml" Id="Racc8843fe9034b08" /><Relationship Type="http://schemas.openxmlformats.org/officeDocument/2006/relationships/worksheet" Target="/xl/worksheets/sheet14.xml" Id="Raa74a7eb2d3246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44" customHeight="1">
      <x:c r="A1" s="20" t="str">
        <x:v>GHG 內部資料蒐集｜MOENV Training</x:v>
      </x:c>
      <x:c r="B1" s="20"/>
      <x:c r="C1" s="20"/>
      <x:c r="D1" s="20"/>
      <x:c r="E1" s="20"/>
    </x:row>
    <x:row r="2">
      <x:c r="A2" s="22" t="str">
        <x:v>合成資料・非官方申報檔・非查驗聲明。依環境部表一至表十一設計；12／13 為專案追溯擴充。空白不等於零。</x:v>
      </x:c>
      <x:c r="B2" s="22"/>
      <x:c r="C2" s="22"/>
      <x:c r="D2" s="22"/>
      <x:c r="E2" s="22"/>
    </x:row>
    <x:row r="3">
      <x:c r="A3" s="22"/>
      <x:c r="B3" s="22"/>
      <x:c r="C3" s="22"/>
      <x:c r="D3" s="22"/>
      <x:c r="E3" s="22"/>
    </x:row>
    <x:row r="5" ht="30" customHeight="1">
      <x:c r="A5" s="27" t="str">
        <x:v>項目</x:v>
      </x:c>
      <x:c r="B5" s="27" t="str">
        <x:v>kgCO2e</x:v>
      </x:c>
      <x:c r="C5" s="25"/>
      <x:c r="D5" s="25"/>
      <x:c r="E5" s="25"/>
    </x:row>
    <x:row r="6" ht="30" customHeight="1">
      <x:c r="A6" s="25" t="str">
        <x:v>直接排放</x:v>
      </x:c>
      <x:c r="B6" s="26" t="n">
        <x:f>IF(COUNT('05 Calculation'!M5:M12)&lt;&gt;8,"MISSING",SUM('05 Calculation'!M5:M12)-SUMIF('05 Calculation'!B5:B12,"electricity",'05 Calculation'!M5:M12))</x:f>
        <x:v>32664.273564000003</x:v>
      </x:c>
      <x:c r="C6" s="25"/>
      <x:c r="D6" s="25"/>
      <x:c r="E6" s="25"/>
    </x:row>
    <x:row r="7" ht="30" customHeight="1">
      <x:c r="A7" s="25" t="str">
        <x:v>能源間接排放</x:v>
      </x:c>
      <x:c r="B7" s="26" t="n">
        <x:f>IF(ISNUMBER(B6),SUMIF('05 Calculation'!B5:B12,"electricity",'05 Calculation'!M5:M12),"MISSING")</x:f>
        <x:v>63133.2</x:v>
      </x:c>
      <x:c r="C7" s="25"/>
      <x:c r="D7" s="25"/>
      <x:c r="E7" s="25"/>
    </x:row>
    <x:row r="8" ht="30" customHeight="1">
      <x:c r="A8" s="25" t="str">
        <x:v>合計</x:v>
      </x:c>
      <x:c r="B8" s="26" t="n">
        <x:f>IF(ISNUMBER(B6),B6+B7,"MISSING")</x:f>
        <x:v>95797.473564</x:v>
      </x:c>
      <x:c r="C8" s="25"/>
      <x:c r="D8" s="25"/>
      <x:c r="E8" s="25"/>
    </x:row>
    <x:row r="9" ht="30" customHeight="1">
      <x:c r="A9" s="25" t="str">
        <x:v>合計 tCO2e</x:v>
      </x:c>
      <x:c r="B9" s="26" t="n">
        <x:f>IF(ISNUMBER(B8),B8/1000,"MISSING")</x:f>
        <x:v>95.797473564</x:v>
      </x:c>
      <x:c r="C9" s="25"/>
      <x:c r="D9" s="25"/>
      <x:c r="E9" s="25"/>
    </x:row>
    <x:row r="10" ht="30" customHeight="1">
      <x:c r="A10" s="25"/>
      <x:c r="B10" s="25"/>
      <x:c r="C10" s="25"/>
      <x:c r="D10" s="25"/>
      <x:c r="E10" s="25"/>
    </x:row>
    <x:row r="11" ht="30" customHeight="1">
      <x:c r="A11" s="25" t="str">
        <x:v>使用順序：界定廠場 → 鑑別排放源 → 每月填活動資料並附憑證 → 選定係數及 GWP → 計算 → 品質／不確定性／覆核。每年另存一本。年度範例保留固定五組月資料順序，請勿移動列；正式驗證請執行 Repo 的 CSV／憑證檢查。</x:v>
      </x:c>
      <x:c r="B11" s="25"/>
      <x:c r="C11" s="25"/>
      <x:c r="D11" s="25"/>
      <x:c r="E11" s="25"/>
    </x:row>
    <x:row r="12" ht="30" customHeight="1">
      <x:c r="A12" s="25"/>
      <x:c r="B12" s="25"/>
      <x:c r="C12" s="25"/>
      <x:c r="D12" s="25"/>
      <x:c r="E12" s="25"/>
    </x:row>
    <x:row r="13" ht="30" customHeight="1">
      <x:c r="A13" s="25"/>
      <x:c r="B13" s="25"/>
      <x:c r="C13" s="25"/>
      <x:c r="D13" s="25"/>
      <x:c r="E13" s="25"/>
    </x:row>
    <x:row r="14" ht="30" customHeight="1">
      <x:c r="A14" s="25"/>
      <x:c r="B14" s="25"/>
      <x:c r="C14" s="25"/>
      <x:c r="D14" s="25"/>
      <x:c r="E14" s="25"/>
    </x:row>
    <x:row r="15" ht="30" customHeight="1">
      <x:c r="A15" s="25"/>
      <x:c r="B15" s="25"/>
      <x:c r="C15" s="25"/>
      <x:c r="D15" s="25"/>
      <x:c r="E15" s="25"/>
    </x:row>
    <x:row r="16" ht="30" customHeight="1">
      <x:c r="A16" s="25" t="str">
        <x:v>範例使用歷史電力係數作跨期教學，不代表現行法規所要求的最新係數。燃料低位熱值為虛構；不確定性未評估。量化表綠色欄為公式，活動表藍字欄為可修改數值。憑證內容與雜湊須另行同步，試算表不會自動重新產生證據。</x:v>
      </x:c>
      <x:c r="B16" s="25"/>
      <x:c r="C16" s="25"/>
      <x:c r="D16" s="25"/>
      <x:c r="E16" s="25"/>
    </x:row>
    <x:row r="17" ht="30" customHeight="1">
      <x:c r="A17" s="25"/>
      <x:c r="B17" s="25"/>
      <x:c r="C17" s="25"/>
      <x:c r="D17" s="25"/>
      <x:c r="E17" s="25"/>
    </x:row>
    <x:row r="18" ht="30" customHeight="1">
      <x:c r="A18" s="25"/>
      <x:c r="B18" s="25"/>
      <x:c r="C18" s="25"/>
      <x:c r="D18" s="25"/>
      <x:c r="E18" s="25"/>
    </x:row>
    <x:row r="19" ht="30" customHeight="1">
      <x:c r="A19" s="25"/>
      <x:c r="B19" s="25"/>
      <x:c r="C19" s="25"/>
      <x:c r="D19" s="25"/>
      <x:c r="E19" s="25"/>
    </x:row>
  </x:sheetData>
  <x:mergeCells>
    <x:mergeCell ref="A1:E1"/>
    <x:mergeCell ref="A2:E3"/>
    <x:mergeCell ref="A11:E14"/>
    <x:mergeCell ref="A16:E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40" customHeight="1">
      <x:c r="A1" s="5" t="str">
        <x:v>事業基本資料｜2023 年合成範例</x:v>
      </x:c>
      <x:c r="B1" s="5"/>
      <x:c r="C1" s="5"/>
      <x:c r="D1" s="5"/>
      <x:c r="E1" s="5"/>
      <x:c r="F1" s="5"/>
      <x:c r="G1" s="3"/>
      <x:c r="H1" s="3"/>
      <x:c r="I1" s="3"/>
    </x:row>
    <x:row r="2" ht="34" customHeight="1">
      <x:c r="A2" s="7" t="str">
        <x:v>非官方申報檔；合成案例不是查驗意見。完整欄位說明及來源見 Repo README、FIELD_MAP、SOURCES。</x:v>
      </x:c>
      <x:c r="B2" s="7"/>
      <x:c r="C2" s="7"/>
      <x:c r="D2" s="7"/>
      <x:c r="E2" s="7"/>
      <x:c r="F2" s="7"/>
      <x:c r="G2" s="3"/>
      <x:c r="H2" s="3"/>
      <x:c r="I2" s="3"/>
    </x:row>
    <x:row r="3" ht="72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64" customHeight="1">
      <x:c r="A4" s="9" t="str">
        <x:v>年度 year</x:v>
      </x:c>
      <x:c r="B4" s="9" t="str">
        <x:v>organization</x:v>
      </x:c>
      <x:c r="C4" s="9" t="str">
        <x:v>facility_id</x:v>
      </x:c>
      <x:c r="D4" s="9" t="str">
        <x:v>registration_id</x:v>
      </x:c>
      <x:c r="E4" s="9" t="str">
        <x:v>industry</x:v>
      </x:c>
      <x:c r="F4" s="9" t="str">
        <x:v>owner_role</x:v>
      </x:c>
      <x:c r="G4" s="9" t="str">
        <x:v>contact_role</x:v>
      </x:c>
      <x:c r="H4" s="9" t="str">
        <x:v>assurance_status</x:v>
      </x:c>
      <x:c r="I4" s="9" t="str">
        <x:v>是否合成資料</x:v>
      </x:c>
    </x:row>
    <x:row r="5" ht="72" customHeight="1">
      <x:c r="A5" s="10" t="n">
        <x:v>2023</x:v>
      </x:c>
      <x:c r="B5" s="3" t="str">
        <x:v>示範製造廠（完全虛構）</x:v>
      </x:c>
      <x:c r="C5" s="3" t="str">
        <x:v>demo-plant</x:v>
      </x:c>
      <x:c r="D5" s="3" t="str">
        <x:v>NOT-A-REAL-REGISTRATION</x:v>
      </x:c>
      <x:c r="E5" s="3" t="str">
        <x:v>generic-manufacturing-training</x:v>
      </x:c>
      <x:c r="F5" s="3" t="str">
        <x:v>simulated-manager</x:v>
      </x:c>
      <x:c r="G5" s="3" t="str">
        <x:v>simulated-coordinator</x:v>
      </x:c>
      <x:c r="H5" s="3" t="str">
        <x:v>not-assured</x:v>
      </x:c>
      <x:c r="I5" s="3" t="str">
        <x:v>True</x:v>
      </x:c>
    </x:row>
    <x:row r="6" ht="72" customHeight="1">
      <x:c r="A6" s="3"/>
      <x:c r="B6" s="3"/>
      <x:c r="C6" s="3"/>
      <x:c r="D6" s="3"/>
      <x:c r="E6" s="3"/>
      <x:c r="F6" s="3"/>
      <x:c r="G6" s="3"/>
      <x:c r="H6" s="3"/>
      <x:c r="I6" s="3"/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40" customHeight="1">
      <x:c r="A1" s="5" t="str">
        <x:v>邊界設定｜2023 年合成範例</x:v>
      </x:c>
      <x:c r="B1" s="5"/>
      <x:c r="C1" s="5"/>
      <x:c r="D1" s="5"/>
      <x:c r="E1" s="5"/>
      <x:c r="F1" s="5"/>
      <x:c r="G1" s="3"/>
    </x:row>
    <x:row r="2" ht="34" customHeight="1">
      <x:c r="A2" s="7" t="str">
        <x:v>非官方申報檔；合成案例不是查驗意見。完整欄位說明及來源見 Repo README、FIELD_MAP、SOURCES。</x:v>
      </x:c>
      <x:c r="B2" s="7"/>
      <x:c r="C2" s="7"/>
      <x:c r="D2" s="7"/>
      <x:c r="E2" s="7"/>
      <x:c r="F2" s="7"/>
      <x:c r="G2" s="3"/>
    </x:row>
    <x:row r="3" ht="72" customHeight="1">
      <x:c r="A3" s="3"/>
      <x:c r="B3" s="3"/>
      <x:c r="C3" s="3"/>
      <x:c r="D3" s="3"/>
      <x:c r="E3" s="3"/>
      <x:c r="F3" s="3"/>
      <x:c r="G3" s="3"/>
    </x:row>
    <x:row r="4" ht="64" customHeight="1">
      <x:c r="A4" s="9" t="str">
        <x:v>年度 year</x:v>
      </x:c>
      <x:c r="B4" s="9" t="str">
        <x:v>facility_id</x:v>
      </x:c>
      <x:c r="C4" s="9" t="str">
        <x:v>boundary</x:v>
      </x:c>
      <x:c r="D4" s="9" t="str">
        <x:v>site_plan_evidence</x:v>
      </x:c>
      <x:c r="E4" s="9" t="str">
        <x:v>exclusions</x:v>
      </x:c>
      <x:c r="F4" s="9" t="str">
        <x:v>reason</x:v>
      </x:c>
      <x:c r="G4" s="9" t="str">
        <x:v>是否合成資料</x:v>
      </x:c>
    </x:row>
    <x:row r="5" ht="72" customHeight="1">
      <x:c r="A5" s="10" t="n">
        <x:v>2023</x:v>
      </x:c>
      <x:c r="B5" s="3" t="str">
        <x:v>demo-plant</x:v>
      </x:c>
      <x:c r="C5" s="3" t="str">
        <x:v>single fictional plant under operational control</x:v>
      </x:c>
      <x:c r="D5" s="3" t="str">
        <x:v>scenario</x:v>
      </x:c>
      <x:c r="E5" s="3" t="str">
        <x:v>onsite process gas; SF6/PFC/NF3; onsite wastewater; purchased steam; biomass</x:v>
      </x:c>
      <x:c r="F5" s="3" t="str">
        <x:v>scenario has no relevant process/equipment; sanitary wastewater discharged to public sewer with no onsite anaerobic treatment; verify in any real application</x:v>
      </x:c>
      <x:c r="G5" s="3" t="str">
        <x:v>True</x:v>
      </x:c>
    </x:row>
    <x:row r="6" ht="72" customHeight="1">
      <x:c r="A6" s="3"/>
      <x:c r="B6" s="3"/>
      <x:c r="C6" s="3"/>
      <x:c r="D6" s="3"/>
      <x:c r="E6" s="3"/>
      <x:c r="F6" s="3"/>
      <x:c r="G6" s="3"/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4" hidden="0" customWidth="1"/>
    <x:col min="2" max="2" width="30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30" hidden="0" customWidth="1"/>
  </x:cols>
  <x:sheetData>
    <x:row r="1" ht="40" customHeight="1">
      <x:c r="A1" s="5" t="str">
        <x:v>排放源鑑別｜2023 年合成範例</x:v>
      </x:c>
      <x:c r="B1" s="5"/>
      <x:c r="C1" s="5"/>
      <x:c r="D1" s="5"/>
      <x:c r="E1" s="5"/>
      <x:c r="F1" s="5"/>
      <x:c r="G1" s="3"/>
      <x:c r="H1" s="3"/>
      <x:c r="I1" s="3"/>
      <x:c r="J1" s="3"/>
      <x:c r="K1" s="3"/>
      <x:c r="L1" s="3"/>
      <x:c r="M1" s="3"/>
      <x:c r="N1" s="3"/>
      <x:c r="O1" s="3"/>
    </x:row>
    <x:row r="2" ht="34" customHeight="1">
      <x:c r="A2" s="7" t="str">
        <x:v>非官方申報檔；合成案例不是查驗意見。完整欄位說明及來源見 Repo README、FIELD_MAP、SOURCES。</x:v>
      </x:c>
      <x:c r="B2" s="7"/>
      <x:c r="C2" s="7"/>
      <x:c r="D2" s="7"/>
      <x:c r="E2" s="7"/>
      <x:c r="F2" s="7"/>
      <x:c r="G2" s="3"/>
      <x:c r="H2" s="3"/>
      <x:c r="I2" s="3"/>
      <x:c r="J2" s="3"/>
      <x:c r="K2" s="3"/>
      <x:c r="L2" s="3"/>
      <x:c r="M2" s="3"/>
      <x:c r="N2" s="3"/>
      <x:c r="O2" s="3"/>
    </x:row>
    <x:row r="3" ht="72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ht="64" customHeight="1">
      <x:c r="A4" s="9" t="str">
        <x:v>年度 year</x:v>
      </x:c>
      <x:c r="B4" s="9" t="str">
        <x:v>排放源 ID</x:v>
      </x:c>
      <x:c r="C4" s="9" t="str">
        <x:v>source_name</x:v>
      </x:c>
      <x:c r="D4" s="9" t="str">
        <x:v>process_id</x:v>
      </x:c>
      <x:c r="E4" s="9" t="str">
        <x:v>equipment_id</x:v>
      </x:c>
      <x:c r="F4" s="9" t="str">
        <x:v>material</x:v>
      </x:c>
      <x:c r="G4" s="9" t="str">
        <x:v>direct_or_energy_indirect</x:v>
      </x:c>
      <x:c r="H4" s="9" t="str">
        <x:v>emission_type</x:v>
      </x:c>
      <x:c r="I4" s="9" t="str">
        <x:v>gases</x:v>
      </x:c>
      <x:c r="J4" s="9" t="str">
        <x:v>biomass</x:v>
      </x:c>
      <x:c r="K4" s="9" t="str">
        <x:v>cogeneration</x:v>
      </x:c>
      <x:c r="L4" s="9" t="str">
        <x:v>status</x:v>
      </x:c>
      <x:c r="M4" s="9" t="str">
        <x:v>start_date</x:v>
      </x:c>
      <x:c r="N4" s="9" t="str">
        <x:v>end_date</x:v>
      </x:c>
      <x:c r="O4" s="9" t="str">
        <x:v>憑證 ID</x:v>
      </x:c>
    </x:row>
    <x:row r="5" ht="72" customHeight="1">
      <x:c r="A5" s="10" t="n">
        <x:v>2023</x:v>
      </x:c>
      <x:c r="B5" s="3" t="str">
        <x:v>boiler</x:v>
      </x:c>
      <x:c r="C5" s="3" t="str">
        <x:v>天然氣鍋爐</x:v>
      </x:c>
      <x:c r="D5" s="3" t="str">
        <x:v>demo-utilities</x:v>
      </x:c>
      <x:c r="E5" s="3" t="str">
        <x:v>boiler</x:v>
      </x:c>
      <x:c r="F5" s="3" t="str">
        <x:v>天然氣</x:v>
      </x:c>
      <x:c r="G5" s="3" t="str">
        <x:v>direct</x:v>
      </x:c>
      <x:c r="H5" s="3" t="str">
        <x:v>固定燃燒</x:v>
      </x:c>
      <x:c r="I5" s="3" t="str">
        <x:v>CO2;CH4;N2O</x:v>
      </x:c>
      <x:c r="J5" s="3" t="str">
        <x:v>False</x:v>
      </x:c>
      <x:c r="K5" s="3" t="str">
        <x:v>False</x:v>
      </x:c>
      <x:c r="L5" s="3" t="str">
        <x:v>included</x:v>
      </x:c>
      <x:c r="M5" s="3" t="str">
        <x:v>before-2023</x:v>
      </x:c>
      <x:c r="N5" s="3" t="str">
        <x:v>ongoing</x:v>
      </x:c>
      <x:c r="O5" s="3" t="str">
        <x:v>scenario</x:v>
      </x:c>
    </x:row>
    <x:row r="6" ht="72" customHeight="1">
      <x:c r="A6" s="10" t="n">
        <x:v>2023</x:v>
      </x:c>
      <x:c r="B6" s="3" t="str">
        <x:v>generator</x:v>
      </x:c>
      <x:c r="C6" s="3" t="str">
        <x:v>柴油備援發電機</x:v>
      </x:c>
      <x:c r="D6" s="3" t="str">
        <x:v>demo-utilities</x:v>
      </x:c>
      <x:c r="E6" s="3" t="str">
        <x:v>generator</x:v>
      </x:c>
      <x:c r="F6" s="3" t="str">
        <x:v>柴油</x:v>
      </x:c>
      <x:c r="G6" s="3" t="str">
        <x:v>direct</x:v>
      </x:c>
      <x:c r="H6" s="3" t="str">
        <x:v>固定燃燒</x:v>
      </x:c>
      <x:c r="I6" s="3" t="str">
        <x:v>CO2;CH4;N2O</x:v>
      </x:c>
      <x:c r="J6" s="3" t="str">
        <x:v>False</x:v>
      </x:c>
      <x:c r="K6" s="3" t="str">
        <x:v>False</x:v>
      </x:c>
      <x:c r="L6" s="3" t="str">
        <x:v>included</x:v>
      </x:c>
      <x:c r="M6" s="3" t="str">
        <x:v>before-2023</x:v>
      </x:c>
      <x:c r="N6" s="3" t="str">
        <x:v>ongoing</x:v>
      </x:c>
      <x:c r="O6" s="3" t="str">
        <x:v>scenario</x:v>
      </x:c>
    </x:row>
    <x:row r="7" ht="72" customHeight="1">
      <x:c r="A7" s="10" t="n">
        <x:v>2023</x:v>
      </x:c>
      <x:c r="B7" s="3" t="str">
        <x:v>new-generator</x:v>
      </x:c>
      <x:c r="C7" s="3" t="str">
        <x:v>新增柴油備援發電機</x:v>
      </x:c>
      <x:c r="D7" s="3" t="str">
        <x:v>demo-utilities</x:v>
      </x:c>
      <x:c r="E7" s="3" t="str">
        <x:v>new-generator</x:v>
      </x:c>
      <x:c r="F7" s="3" t="str">
        <x:v>柴油</x:v>
      </x:c>
      <x:c r="G7" s="3" t="str">
        <x:v>direct</x:v>
      </x:c>
      <x:c r="H7" s="3" t="str">
        <x:v>固定燃燒</x:v>
      </x:c>
      <x:c r="I7" s="3" t="str">
        <x:v>CO2;CH4;N2O</x:v>
      </x:c>
      <x:c r="J7" s="3" t="str">
        <x:v>False</x:v>
      </x:c>
      <x:c r="K7" s="3" t="str">
        <x:v>False</x:v>
      </x:c>
      <x:c r="L7" s="3" t="str">
        <x:v>not-installed</x:v>
      </x:c>
      <x:c r="M7" s="3" t="str">
        <x:v>2024-07-01</x:v>
      </x:c>
      <x:c r="N7" s="3" t="str">
        <x:v>ongoing</x:v>
      </x:c>
      <x:c r="O7" s="3" t="str">
        <x:v>scenario</x:v>
      </x:c>
    </x:row>
    <x:row r="8" ht="72" customHeight="1">
      <x:c r="A8" s="10" t="n">
        <x:v>2023</x:v>
      </x:c>
      <x:c r="B8" s="3" t="str">
        <x:v>cooling</x:v>
      </x:c>
      <x:c r="C8" s="3" t="str">
        <x:v>HFC-134a空調系統</x:v>
      </x:c>
      <x:c r="D8" s="3" t="str">
        <x:v>demo-utilities</x:v>
      </x:c>
      <x:c r="E8" s="3" t="str">
        <x:v>cooling</x:v>
      </x:c>
      <x:c r="F8" s="3" t="str">
        <x:v>HFC-134a</x:v>
      </x:c>
      <x:c r="G8" s="3" t="str">
        <x:v>direct</x:v>
      </x:c>
      <x:c r="H8" s="3" t="str">
        <x:v>逸散</x:v>
      </x:c>
      <x:c r="I8" s="3" t="str">
        <x:v>HFCs</x:v>
      </x:c>
      <x:c r="J8" s="3" t="str">
        <x:v>False</x:v>
      </x:c>
      <x:c r="K8" s="3" t="str">
        <x:v>False</x:v>
      </x:c>
      <x:c r="L8" s="3" t="str">
        <x:v>included</x:v>
      </x:c>
      <x:c r="M8" s="3" t="str">
        <x:v>before-2023</x:v>
      </x:c>
      <x:c r="N8" s="3" t="str">
        <x:v>ongoing</x:v>
      </x:c>
      <x:c r="O8" s="3" t="str">
        <x:v>scenario</x:v>
      </x:c>
    </x:row>
    <x:row r="9" ht="72" customHeight="1">
      <x:c r="A9" s="10" t="n">
        <x:v>2023</x:v>
      </x:c>
      <x:c r="B9" s="3" t="str">
        <x:v>electricity</x:v>
      </x:c>
      <x:c r="C9" s="3" t="str">
        <x:v>外購電力總表</x:v>
      </x:c>
      <x:c r="D9" s="3" t="str">
        <x:v>demo-utilities</x:v>
      </x:c>
      <x:c r="E9" s="3" t="str">
        <x:v>electricity</x:v>
      </x:c>
      <x:c r="F9" s="3" t="str">
        <x:v>電力</x:v>
      </x:c>
      <x:c r="G9" s="3" t="str">
        <x:v>energy-indirect</x:v>
      </x:c>
      <x:c r="H9" s="3" t="str">
        <x:v>外購電力</x:v>
      </x:c>
      <x:c r="I9" s="3" t="str">
        <x:v>CO2e</x:v>
      </x:c>
      <x:c r="J9" s="3" t="str">
        <x:v>False</x:v>
      </x:c>
      <x:c r="K9" s="3" t="str">
        <x:v>False</x:v>
      </x:c>
      <x:c r="L9" s="3" t="str">
        <x:v>included</x:v>
      </x:c>
      <x:c r="M9" s="3" t="str">
        <x:v>before-2023</x:v>
      </x:c>
      <x:c r="N9" s="3" t="str">
        <x:v>ongoing</x:v>
      </x:c>
      <x:c r="O9" s="3" t="str">
        <x:v>scenario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30" hidden="0" customWidth="1"/>
    <x:col min="4" max="4" width="24" hidden="0" customWidth="1"/>
    <x:col min="5" max="5" width="24" hidden="0" customWidth="1"/>
    <x:col min="6" max="6" width="24" hidden="0" customWidth="1"/>
    <x:col min="7" max="7" width="30" hidden="0" customWidth="1"/>
    <x:col min="8" max="8" width="30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</x:cols>
  <x:sheetData>
    <x:row r="1" ht="40" customHeight="1">
      <x:c r="A1" s="5" t="str">
        <x:v>逐月活動數據｜2023 年合成範例</x:v>
      </x:c>
      <x:c r="B1" s="5"/>
      <x:c r="C1" s="5"/>
      <x:c r="D1" s="5"/>
      <x:c r="E1" s="5"/>
      <x:c r="F1" s="5"/>
      <x:c r="G1" s="3"/>
      <x:c r="H1" s="3"/>
      <x:c r="I1" s="3"/>
      <x:c r="J1" s="3"/>
      <x:c r="K1" s="3"/>
      <x:c r="L1" s="3"/>
      <x:c r="M1" s="3"/>
      <x:c r="N1" s="3"/>
      <x:c r="O1" s="3"/>
    </x:row>
    <x:row r="2" ht="34" customHeight="1">
      <x:c r="A2" s="7" t="str">
        <x:v>非官方申報檔；合成案例不是查驗意見。完整欄位說明及來源見 Repo README、FIELD_MAP、SOURCES。</x:v>
      </x:c>
      <x:c r="B2" s="7"/>
      <x:c r="C2" s="7"/>
      <x:c r="D2" s="7"/>
      <x:c r="E2" s="7"/>
      <x:c r="F2" s="7"/>
      <x:c r="G2" s="3"/>
      <x:c r="H2" s="3"/>
      <x:c r="I2" s="3"/>
      <x:c r="J2" s="3"/>
      <x:c r="K2" s="3"/>
      <x:c r="L2" s="3"/>
      <x:c r="M2" s="3"/>
      <x:c r="N2" s="3"/>
      <x:c r="O2" s="3"/>
    </x:row>
    <x:row r="3" ht="72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ht="64" customHeight="1">
      <x:c r="A4" s="9" t="str">
        <x:v>年度 year</x:v>
      </x:c>
      <x:c r="B4" s="9" t="str">
        <x:v>月份 month</x:v>
      </x:c>
      <x:c r="C4" s="9" t="str">
        <x:v>排放源 ID</x:v>
      </x:c>
      <x:c r="D4" s="9" t="str">
        <x:v>數量 quantity</x:v>
      </x:c>
      <x:c r="E4" s="9" t="str">
        <x:v>單位 unit</x:v>
      </x:c>
      <x:c r="F4" s="9" t="str">
        <x:v>資料狀態</x:v>
      </x:c>
      <x:c r="G4" s="9" t="str">
        <x:v>憑證 ID</x:v>
      </x:c>
      <x:c r="H4" s="9" t="str">
        <x:v>憑證 SHA256</x:v>
      </x:c>
      <x:c r="I4" s="9" t="str">
        <x:v>保存單位</x:v>
      </x:c>
      <x:c r="J4" s="9" t="str">
        <x:v>measurement_frequency</x:v>
      </x:c>
      <x:c r="K4" s="9" t="str">
        <x:v>instrument</x:v>
      </x:c>
      <x:c r="L4" s="9" t="str">
        <x:v>calibration</x:v>
      </x:c>
      <x:c r="M4" s="9" t="str">
        <x:v>allocation_share</x:v>
      </x:c>
      <x:c r="N4" s="9" t="str">
        <x:v>method</x:v>
      </x:c>
      <x:c r="O4" s="9" t="str">
        <x:v>是否合成資料</x:v>
      </x:c>
    </x:row>
    <x:row r="5" ht="72" customHeight="1">
      <x:c r="A5" s="10" t="n">
        <x:v>2023</x:v>
      </x:c>
      <x:c r="B5" s="10" t="n">
        <x:v>1</x:v>
      </x:c>
      <x:c r="C5" s="3" t="str">
        <x:v>boiler</x:v>
      </x:c>
      <x:c r="D5" s="12" t="n">
        <x:v>1010</x:v>
      </x:c>
      <x:c r="E5" s="3" t="str">
        <x:v>meter ** 3</x:v>
      </x:c>
      <x:c r="F5" s="3" t="str">
        <x:v>recorded</x:v>
      </x:c>
      <x:c r="G5" s="3" t="str">
        <x:v>2023-boiler-01</x:v>
      </x:c>
      <x:c r="H5" s="3" t="str">
        <x:v>d7e1ca216924764d999fd45840bce2dce489575da81028451eca0d728c51d8a2</x:v>
      </x:c>
      <x:c r="I5" s="3" t="str">
        <x:v>simulated-facilities-team</x:v>
      </x:c>
      <x:c r="J5" s="3" t="str">
        <x:v>monthly</x:v>
      </x:c>
      <x:c r="K5" s="3" t="str">
        <x:v>synthetic-log</x:v>
      </x:c>
      <x:c r="L5" s="3" t="str">
        <x:v>not-established</x:v>
      </x:c>
      <x:c r="M5" s="11" t="n">
        <x:v>1</x:v>
      </x:c>
      <x:c r="N5" s="3" t="str">
        <x:v>documented-consumption-or-leakage</x:v>
      </x:c>
      <x:c r="O5" s="3" t="str">
        <x:v>True</x:v>
      </x:c>
    </x:row>
    <x:row r="6" ht="72" customHeight="1">
      <x:c r="A6" s="10" t="n">
        <x:v>2023</x:v>
      </x:c>
      <x:c r="B6" s="10" t="n">
        <x:v>2</x:v>
      </x:c>
      <x:c r="C6" s="3" t="str">
        <x:v>boiler</x:v>
      </x:c>
      <x:c r="D6" s="12" t="n">
        <x:v>1020</x:v>
      </x:c>
      <x:c r="E6" s="3" t="str">
        <x:v>meter ** 3</x:v>
      </x:c>
      <x:c r="F6" s="3" t="str">
        <x:v>recorded</x:v>
      </x:c>
      <x:c r="G6" s="3" t="str">
        <x:v>2023-boiler-02</x:v>
      </x:c>
      <x:c r="H6" s="3" t="str">
        <x:v>b4d92c87044d310ec6f10fad2231800d7a984d9b82057b1e676596a453515abe</x:v>
      </x:c>
      <x:c r="I6" s="3" t="str">
        <x:v>simulated-facilities-team</x:v>
      </x:c>
      <x:c r="J6" s="3" t="str">
        <x:v>monthly</x:v>
      </x:c>
      <x:c r="K6" s="3" t="str">
        <x:v>synthetic-log</x:v>
      </x:c>
      <x:c r="L6" s="3" t="str">
        <x:v>not-established</x:v>
      </x:c>
      <x:c r="M6" s="11" t="n">
        <x:v>1</x:v>
      </x:c>
      <x:c r="N6" s="3" t="str">
        <x:v>documented-consumption-or-leakage</x:v>
      </x:c>
      <x:c r="O6" s="3" t="str">
        <x:v>True</x:v>
      </x:c>
    </x:row>
    <x:row r="7" ht="72" customHeight="1">
      <x:c r="A7" s="10" t="n">
        <x:v>2023</x:v>
      </x:c>
      <x:c r="B7" s="10" t="n">
        <x:v>3</x:v>
      </x:c>
      <x:c r="C7" s="3" t="str">
        <x:v>boiler</x:v>
      </x:c>
      <x:c r="D7" s="12" t="n">
        <x:v>1030</x:v>
      </x:c>
      <x:c r="E7" s="3" t="str">
        <x:v>meter ** 3</x:v>
      </x:c>
      <x:c r="F7" s="3" t="str">
        <x:v>recorded</x:v>
      </x:c>
      <x:c r="G7" s="3" t="str">
        <x:v>2023-boiler-03</x:v>
      </x:c>
      <x:c r="H7" s="3" t="str">
        <x:v>724a433e1324ced4d36ac811dd04e701210ddae4f48ef76e120e0753ea5a6983</x:v>
      </x:c>
      <x:c r="I7" s="3" t="str">
        <x:v>simulated-facilities-team</x:v>
      </x:c>
      <x:c r="J7" s="3" t="str">
        <x:v>monthly</x:v>
      </x:c>
      <x:c r="K7" s="3" t="str">
        <x:v>synthetic-log</x:v>
      </x:c>
      <x:c r="L7" s="3" t="str">
        <x:v>not-established</x:v>
      </x:c>
      <x:c r="M7" s="11" t="n">
        <x:v>1</x:v>
      </x:c>
      <x:c r="N7" s="3" t="str">
        <x:v>documented-consumption-or-leakage</x:v>
      </x:c>
      <x:c r="O7" s="3" t="str">
        <x:v>True</x:v>
      </x:c>
    </x:row>
    <x:row r="8" ht="72" customHeight="1">
      <x:c r="A8" s="10" t="n">
        <x:v>2023</x:v>
      </x:c>
      <x:c r="B8" s="10" t="n">
        <x:v>4</x:v>
      </x:c>
      <x:c r="C8" s="3" t="str">
        <x:v>boiler</x:v>
      </x:c>
      <x:c r="D8" s="12" t="n">
        <x:v>1040</x:v>
      </x:c>
      <x:c r="E8" s="3" t="str">
        <x:v>meter ** 3</x:v>
      </x:c>
      <x:c r="F8" s="3" t="str">
        <x:v>recorded</x:v>
      </x:c>
      <x:c r="G8" s="3" t="str">
        <x:v>2023-boiler-04</x:v>
      </x:c>
      <x:c r="H8" s="3" t="str">
        <x:v>e8201c5f2ad42d2f7f0244b4118dbd2e688bd270c97501e0dfab03c42029419e</x:v>
      </x:c>
      <x:c r="I8" s="3" t="str">
        <x:v>simulated-facilities-team</x:v>
      </x:c>
      <x:c r="J8" s="3" t="str">
        <x:v>monthly</x:v>
      </x:c>
      <x:c r="K8" s="3" t="str">
        <x:v>synthetic-log</x:v>
      </x:c>
      <x:c r="L8" s="3" t="str">
        <x:v>not-established</x:v>
      </x:c>
      <x:c r="M8" s="11" t="n">
        <x:v>1</x:v>
      </x:c>
      <x:c r="N8" s="3" t="str">
        <x:v>documented-consumption-or-leakage</x:v>
      </x:c>
      <x:c r="O8" s="3" t="str">
        <x:v>True</x:v>
      </x:c>
    </x:row>
    <x:row r="9" ht="72" customHeight="1">
      <x:c r="A9" s="10" t="n">
        <x:v>2023</x:v>
      </x:c>
      <x:c r="B9" s="10" t="n">
        <x:v>5</x:v>
      </x:c>
      <x:c r="C9" s="3" t="str">
        <x:v>boiler</x:v>
      </x:c>
      <x:c r="D9" s="12" t="n">
        <x:v>1050</x:v>
      </x:c>
      <x:c r="E9" s="3" t="str">
        <x:v>meter ** 3</x:v>
      </x:c>
      <x:c r="F9" s="3" t="str">
        <x:v>recorded</x:v>
      </x:c>
      <x:c r="G9" s="3" t="str">
        <x:v>2023-boiler-05</x:v>
      </x:c>
      <x:c r="H9" s="3" t="str">
        <x:v>8d0e4afcbd60ee33cab37ecd3492e8be75204d9774ccf334445ccdafc6e37073</x:v>
      </x:c>
      <x:c r="I9" s="3" t="str">
        <x:v>simulated-facilities-team</x:v>
      </x:c>
      <x:c r="J9" s="3" t="str">
        <x:v>monthly</x:v>
      </x:c>
      <x:c r="K9" s="3" t="str">
        <x:v>synthetic-log</x:v>
      </x:c>
      <x:c r="L9" s="3" t="str">
        <x:v>not-established</x:v>
      </x:c>
      <x:c r="M9" s="11" t="n">
        <x:v>1</x:v>
      </x:c>
      <x:c r="N9" s="3" t="str">
        <x:v>documented-consumption-or-leakage</x:v>
      </x:c>
      <x:c r="O9" s="3" t="str">
        <x:v>True</x:v>
      </x:c>
    </x:row>
    <x:row r="10" ht="72" customHeight="1">
      <x:c r="A10" s="10" t="n">
        <x:v>2023</x:v>
      </x:c>
      <x:c r="B10" s="10" t="n">
        <x:v>6</x:v>
      </x:c>
      <x:c r="C10" s="3" t="str">
        <x:v>boiler</x:v>
      </x:c>
      <x:c r="D10" s="12" t="n">
        <x:v>1060</x:v>
      </x:c>
      <x:c r="E10" s="3" t="str">
        <x:v>meter ** 3</x:v>
      </x:c>
      <x:c r="F10" s="3" t="str">
        <x:v>recorded</x:v>
      </x:c>
      <x:c r="G10" s="3" t="str">
        <x:v>2023-boiler-06</x:v>
      </x:c>
      <x:c r="H10" s="3" t="str">
        <x:v>51214c9cf4ddc617416ba94bf69795c45c1136a196c885d6e7348722be984969</x:v>
      </x:c>
      <x:c r="I10" s="3" t="str">
        <x:v>simulated-facilities-team</x:v>
      </x:c>
      <x:c r="J10" s="3" t="str">
        <x:v>monthly</x:v>
      </x:c>
      <x:c r="K10" s="3" t="str">
        <x:v>synthetic-log</x:v>
      </x:c>
      <x:c r="L10" s="3" t="str">
        <x:v>not-established</x:v>
      </x:c>
      <x:c r="M10" s="11" t="n">
        <x:v>1</x:v>
      </x:c>
      <x:c r="N10" s="3" t="str">
        <x:v>documented-consumption-or-leakage</x:v>
      </x:c>
      <x:c r="O10" s="3" t="str">
        <x:v>True</x:v>
      </x:c>
    </x:row>
    <x:row r="11" ht="72" customHeight="1">
      <x:c r="A11" s="10" t="n">
        <x:v>2023</x:v>
      </x:c>
      <x:c r="B11" s="10" t="n">
        <x:v>7</x:v>
      </x:c>
      <x:c r="C11" s="3" t="str">
        <x:v>boiler</x:v>
      </x:c>
      <x:c r="D11" s="12" t="n">
        <x:v>1070</x:v>
      </x:c>
      <x:c r="E11" s="3" t="str">
        <x:v>meter ** 3</x:v>
      </x:c>
      <x:c r="F11" s="3" t="str">
        <x:v>recorded</x:v>
      </x:c>
      <x:c r="G11" s="3" t="str">
        <x:v>2023-boiler-07</x:v>
      </x:c>
      <x:c r="H11" s="3" t="str">
        <x:v>19a037cd17afbef36cb9a6eb9638c4bb87614f4ab13381b805edee8ba95272f4</x:v>
      </x:c>
      <x:c r="I11" s="3" t="str">
        <x:v>simulated-facilities-team</x:v>
      </x:c>
      <x:c r="J11" s="3" t="str">
        <x:v>monthly</x:v>
      </x:c>
      <x:c r="K11" s="3" t="str">
        <x:v>synthetic-log</x:v>
      </x:c>
      <x:c r="L11" s="3" t="str">
        <x:v>not-established</x:v>
      </x:c>
      <x:c r="M11" s="11" t="n">
        <x:v>1</x:v>
      </x:c>
      <x:c r="N11" s="3" t="str">
        <x:v>documented-consumption-or-leakage</x:v>
      </x:c>
      <x:c r="O11" s="3" t="str">
        <x:v>True</x:v>
      </x:c>
    </x:row>
    <x:row r="12" ht="72" customHeight="1">
      <x:c r="A12" s="10" t="n">
        <x:v>2023</x:v>
      </x:c>
      <x:c r="B12" s="10" t="n">
        <x:v>8</x:v>
      </x:c>
      <x:c r="C12" s="3" t="str">
        <x:v>boiler</x:v>
      </x:c>
      <x:c r="D12" s="12" t="n">
        <x:v>1080</x:v>
      </x:c>
      <x:c r="E12" s="3" t="str">
        <x:v>meter ** 3</x:v>
      </x:c>
      <x:c r="F12" s="3" t="str">
        <x:v>recorded</x:v>
      </x:c>
      <x:c r="G12" s="3" t="str">
        <x:v>2023-boiler-08</x:v>
      </x:c>
      <x:c r="H12" s="3" t="str">
        <x:v>640480ad23f678cb168981f217f72e0b58dfc19d52c1187de4ddb53051679f17</x:v>
      </x:c>
      <x:c r="I12" s="3" t="str">
        <x:v>simulated-facilities-team</x:v>
      </x:c>
      <x:c r="J12" s="3" t="str">
        <x:v>monthly</x:v>
      </x:c>
      <x:c r="K12" s="3" t="str">
        <x:v>synthetic-log</x:v>
      </x:c>
      <x:c r="L12" s="3" t="str">
        <x:v>not-established</x:v>
      </x:c>
      <x:c r="M12" s="11" t="n">
        <x:v>1</x:v>
      </x:c>
      <x:c r="N12" s="3" t="str">
        <x:v>documented-consumption-or-leakage</x:v>
      </x:c>
      <x:c r="O12" s="3" t="str">
        <x:v>True</x:v>
      </x:c>
    </x:row>
    <x:row r="13" ht="72" customHeight="1">
      <x:c r="A13" s="10" t="n">
        <x:v>2023</x:v>
      </x:c>
      <x:c r="B13" s="10" t="n">
        <x:v>9</x:v>
      </x:c>
      <x:c r="C13" s="3" t="str">
        <x:v>boiler</x:v>
      </x:c>
      <x:c r="D13" s="12" t="n">
        <x:v>1090</x:v>
      </x:c>
      <x:c r="E13" s="3" t="str">
        <x:v>meter ** 3</x:v>
      </x:c>
      <x:c r="F13" s="3" t="str">
        <x:v>recorded</x:v>
      </x:c>
      <x:c r="G13" s="3" t="str">
        <x:v>2023-boiler-09</x:v>
      </x:c>
      <x:c r="H13" s="3" t="str">
        <x:v>a02840204be7867345444d4fd8969dbbd56d0ba38c095de2c0662b2c543467eb</x:v>
      </x:c>
      <x:c r="I13" s="3" t="str">
        <x:v>simulated-facilities-team</x:v>
      </x:c>
      <x:c r="J13" s="3" t="str">
        <x:v>monthly</x:v>
      </x:c>
      <x:c r="K13" s="3" t="str">
        <x:v>synthetic-log</x:v>
      </x:c>
      <x:c r="L13" s="3" t="str">
        <x:v>not-established</x:v>
      </x:c>
      <x:c r="M13" s="11" t="n">
        <x:v>1</x:v>
      </x:c>
      <x:c r="N13" s="3" t="str">
        <x:v>documented-consumption-or-leakage</x:v>
      </x:c>
      <x:c r="O13" s="3" t="str">
        <x:v>True</x:v>
      </x:c>
    </x:row>
    <x:row r="14" ht="72" customHeight="1">
      <x:c r="A14" s="10" t="n">
        <x:v>2023</x:v>
      </x:c>
      <x:c r="B14" s="10" t="n">
        <x:v>10</x:v>
      </x:c>
      <x:c r="C14" s="3" t="str">
        <x:v>boiler</x:v>
      </x:c>
      <x:c r="D14" s="12" t="n">
        <x:v>1100</x:v>
      </x:c>
      <x:c r="E14" s="3" t="str">
        <x:v>meter ** 3</x:v>
      </x:c>
      <x:c r="F14" s="3" t="str">
        <x:v>recorded</x:v>
      </x:c>
      <x:c r="G14" s="3" t="str">
        <x:v>2023-boiler-10</x:v>
      </x:c>
      <x:c r="H14" s="3" t="str">
        <x:v>6f8d1008388c00ba32e578a11a62a1c85a90ff50fc27fd13d4ecd02e4cba29b2</x:v>
      </x:c>
      <x:c r="I14" s="3" t="str">
        <x:v>simulated-facilities-team</x:v>
      </x:c>
      <x:c r="J14" s="3" t="str">
        <x:v>monthly</x:v>
      </x:c>
      <x:c r="K14" s="3" t="str">
        <x:v>synthetic-log</x:v>
      </x:c>
      <x:c r="L14" s="3" t="str">
        <x:v>not-established</x:v>
      </x:c>
      <x:c r="M14" s="11" t="n">
        <x:v>1</x:v>
      </x:c>
      <x:c r="N14" s="3" t="str">
        <x:v>documented-consumption-or-leakage</x:v>
      </x:c>
      <x:c r="O14" s="3" t="str">
        <x:v>True</x:v>
      </x:c>
    </x:row>
    <x:row r="15" ht="72" customHeight="1">
      <x:c r="A15" s="10" t="n">
        <x:v>2023</x:v>
      </x:c>
      <x:c r="B15" s="10" t="n">
        <x:v>11</x:v>
      </x:c>
      <x:c r="C15" s="3" t="str">
        <x:v>boiler</x:v>
      </x:c>
      <x:c r="D15" s="12" t="n">
        <x:v>1110</x:v>
      </x:c>
      <x:c r="E15" s="3" t="str">
        <x:v>meter ** 3</x:v>
      </x:c>
      <x:c r="F15" s="3" t="str">
        <x:v>recorded</x:v>
      </x:c>
      <x:c r="G15" s="3" t="str">
        <x:v>2023-boiler-11</x:v>
      </x:c>
      <x:c r="H15" s="3" t="str">
        <x:v>6f9b178168d1fb138300f369e06596981c14969beb7b26a8182f30e4fbe85123</x:v>
      </x:c>
      <x:c r="I15" s="3" t="str">
        <x:v>simulated-facilities-team</x:v>
      </x:c>
      <x:c r="J15" s="3" t="str">
        <x:v>monthly</x:v>
      </x:c>
      <x:c r="K15" s="3" t="str">
        <x:v>synthetic-log</x:v>
      </x:c>
      <x:c r="L15" s="3" t="str">
        <x:v>not-established</x:v>
      </x:c>
      <x:c r="M15" s="11" t="n">
        <x:v>1</x:v>
      </x:c>
      <x:c r="N15" s="3" t="str">
        <x:v>documented-consumption-or-leakage</x:v>
      </x:c>
      <x:c r="O15" s="3" t="str">
        <x:v>True</x:v>
      </x:c>
    </x:row>
    <x:row r="16" ht="72" customHeight="1">
      <x:c r="A16" s="10" t="n">
        <x:v>2023</x:v>
      </x:c>
      <x:c r="B16" s="10" t="n">
        <x:v>12</x:v>
      </x:c>
      <x:c r="C16" s="3" t="str">
        <x:v>boiler</x:v>
      </x:c>
      <x:c r="D16" s="12" t="n">
        <x:v>1120</x:v>
      </x:c>
      <x:c r="E16" s="3" t="str">
        <x:v>meter ** 3</x:v>
      </x:c>
      <x:c r="F16" s="3" t="str">
        <x:v>recorded</x:v>
      </x:c>
      <x:c r="G16" s="3" t="str">
        <x:v>2023-boiler-12</x:v>
      </x:c>
      <x:c r="H16" s="3" t="str">
        <x:v>50d96f2dc7dfdd2ec617466326a07f42f6319a20f1743a0d62b51672bf33d7e0</x:v>
      </x:c>
      <x:c r="I16" s="3" t="str">
        <x:v>simulated-facilities-team</x:v>
      </x:c>
      <x:c r="J16" s="3" t="str">
        <x:v>monthly</x:v>
      </x:c>
      <x:c r="K16" s="3" t="str">
        <x:v>synthetic-log</x:v>
      </x:c>
      <x:c r="L16" s="3" t="str">
        <x:v>not-established</x:v>
      </x:c>
      <x:c r="M16" s="11" t="n">
        <x:v>1</x:v>
      </x:c>
      <x:c r="N16" s="3" t="str">
        <x:v>documented-consumption-or-leakage</x:v>
      </x:c>
      <x:c r="O16" s="3" t="str">
        <x:v>True</x:v>
      </x:c>
    </x:row>
    <x:row r="17" ht="72" customHeight="1">
      <x:c r="A17" s="10" t="n">
        <x:v>2023</x:v>
      </x:c>
      <x:c r="B17" s="10" t="n">
        <x:v>1</x:v>
      </x:c>
      <x:c r="C17" s="3" t="str">
        <x:v>generator</x:v>
      </x:c>
      <x:c r="D17" s="12" t="n">
        <x:v>41</x:v>
      </x:c>
      <x:c r="E17" s="3" t="str">
        <x:v>liter</x:v>
      </x:c>
      <x:c r="F17" s="3" t="str">
        <x:v>recorded</x:v>
      </x:c>
      <x:c r="G17" s="3" t="str">
        <x:v>2023-generator-01</x:v>
      </x:c>
      <x:c r="H17" s="3" t="str">
        <x:v>0c29879b08a769627c27353d027f16190f5a9ee490b43d9091fdf38265c0a128</x:v>
      </x:c>
      <x:c r="I17" s="3" t="str">
        <x:v>simulated-facilities-team</x:v>
      </x:c>
      <x:c r="J17" s="3" t="str">
        <x:v>monthly</x:v>
      </x:c>
      <x:c r="K17" s="3" t="str">
        <x:v>synthetic-log</x:v>
      </x:c>
      <x:c r="L17" s="3" t="str">
        <x:v>not-established</x:v>
      </x:c>
      <x:c r="M17" s="11" t="n">
        <x:v>1</x:v>
      </x:c>
      <x:c r="N17" s="3" t="str">
        <x:v>documented-consumption-or-leakage</x:v>
      </x:c>
      <x:c r="O17" s="3" t="str">
        <x:v>True</x:v>
      </x:c>
    </x:row>
    <x:row r="18" ht="72" customHeight="1">
      <x:c r="A18" s="10" t="n">
        <x:v>2023</x:v>
      </x:c>
      <x:c r="B18" s="10" t="n">
        <x:v>2</x:v>
      </x:c>
      <x:c r="C18" s="3" t="str">
        <x:v>generator</x:v>
      </x:c>
      <x:c r="D18" s="12" t="n">
        <x:v>42</x:v>
      </x:c>
      <x:c r="E18" s="3" t="str">
        <x:v>liter</x:v>
      </x:c>
      <x:c r="F18" s="3" t="str">
        <x:v>recorded</x:v>
      </x:c>
      <x:c r="G18" s="3" t="str">
        <x:v>2023-generator-02</x:v>
      </x:c>
      <x:c r="H18" s="3" t="str">
        <x:v>b5d98ae2bbb05560e32b56ec88088632cfd8583e5195fe2e73397e4218af8238</x:v>
      </x:c>
      <x:c r="I18" s="3" t="str">
        <x:v>simulated-facilities-team</x:v>
      </x:c>
      <x:c r="J18" s="3" t="str">
        <x:v>monthly</x:v>
      </x:c>
      <x:c r="K18" s="3" t="str">
        <x:v>synthetic-log</x:v>
      </x:c>
      <x:c r="L18" s="3" t="str">
        <x:v>not-established</x:v>
      </x:c>
      <x:c r="M18" s="11" t="n">
        <x:v>1</x:v>
      </x:c>
      <x:c r="N18" s="3" t="str">
        <x:v>documented-consumption-or-leakage</x:v>
      </x:c>
      <x:c r="O18" s="3" t="str">
        <x:v>True</x:v>
      </x:c>
    </x:row>
    <x:row r="19" ht="72" customHeight="1">
      <x:c r="A19" s="10" t="n">
        <x:v>2023</x:v>
      </x:c>
      <x:c r="B19" s="10" t="n">
        <x:v>3</x:v>
      </x:c>
      <x:c r="C19" s="3" t="str">
        <x:v>generator</x:v>
      </x:c>
      <x:c r="D19" s="12" t="n">
        <x:v>43</x:v>
      </x:c>
      <x:c r="E19" s="3" t="str">
        <x:v>liter</x:v>
      </x:c>
      <x:c r="F19" s="3" t="str">
        <x:v>recorded</x:v>
      </x:c>
      <x:c r="G19" s="3" t="str">
        <x:v>2023-generator-03</x:v>
      </x:c>
      <x:c r="H19" s="3" t="str">
        <x:v>668941ceed7ca4d928c14cfde3b3c2111915e64eeb790c07e67ede9ba6460da0</x:v>
      </x:c>
      <x:c r="I19" s="3" t="str">
        <x:v>simulated-facilities-team</x:v>
      </x:c>
      <x:c r="J19" s="3" t="str">
        <x:v>monthly</x:v>
      </x:c>
      <x:c r="K19" s="3" t="str">
        <x:v>synthetic-log</x:v>
      </x:c>
      <x:c r="L19" s="3" t="str">
        <x:v>not-established</x:v>
      </x:c>
      <x:c r="M19" s="11" t="n">
        <x:v>1</x:v>
      </x:c>
      <x:c r="N19" s="3" t="str">
        <x:v>documented-consumption-or-leakage</x:v>
      </x:c>
      <x:c r="O19" s="3" t="str">
        <x:v>True</x:v>
      </x:c>
    </x:row>
    <x:row r="20" ht="72" customHeight="1">
      <x:c r="A20" s="10" t="n">
        <x:v>2023</x:v>
      </x:c>
      <x:c r="B20" s="10" t="n">
        <x:v>4</x:v>
      </x:c>
      <x:c r="C20" s="3" t="str">
        <x:v>generator</x:v>
      </x:c>
      <x:c r="D20" s="12" t="n">
        <x:v>44</x:v>
      </x:c>
      <x:c r="E20" s="3" t="str">
        <x:v>liter</x:v>
      </x:c>
      <x:c r="F20" s="3" t="str">
        <x:v>recorded</x:v>
      </x:c>
      <x:c r="G20" s="3" t="str">
        <x:v>2023-generator-04</x:v>
      </x:c>
      <x:c r="H20" s="3" t="str">
        <x:v>bbc537be273dcff61a68158c425994a19c7d276e06bcf34ac1724a98b32bbe47</x:v>
      </x:c>
      <x:c r="I20" s="3" t="str">
        <x:v>simulated-facilities-team</x:v>
      </x:c>
      <x:c r="J20" s="3" t="str">
        <x:v>monthly</x:v>
      </x:c>
      <x:c r="K20" s="3" t="str">
        <x:v>synthetic-log</x:v>
      </x:c>
      <x:c r="L20" s="3" t="str">
        <x:v>not-established</x:v>
      </x:c>
      <x:c r="M20" s="11" t="n">
        <x:v>1</x:v>
      </x:c>
      <x:c r="N20" s="3" t="str">
        <x:v>documented-consumption-or-leakage</x:v>
      </x:c>
      <x:c r="O20" s="3" t="str">
        <x:v>True</x:v>
      </x:c>
    </x:row>
    <x:row r="21" ht="72" customHeight="1">
      <x:c r="A21" s="10" t="n">
        <x:v>2023</x:v>
      </x:c>
      <x:c r="B21" s="10" t="n">
        <x:v>5</x:v>
      </x:c>
      <x:c r="C21" s="3" t="str">
        <x:v>generator</x:v>
      </x:c>
      <x:c r="D21" s="12" t="n">
        <x:v>45</x:v>
      </x:c>
      <x:c r="E21" s="3" t="str">
        <x:v>liter</x:v>
      </x:c>
      <x:c r="F21" s="3" t="str">
        <x:v>recorded</x:v>
      </x:c>
      <x:c r="G21" s="3" t="str">
        <x:v>2023-generator-05</x:v>
      </x:c>
      <x:c r="H21" s="3" t="str">
        <x:v>236b9b637d86416371477fdf2706f97773449b7890c7e024a3bec281f3965947</x:v>
      </x:c>
      <x:c r="I21" s="3" t="str">
        <x:v>simulated-facilities-team</x:v>
      </x:c>
      <x:c r="J21" s="3" t="str">
        <x:v>monthly</x:v>
      </x:c>
      <x:c r="K21" s="3" t="str">
        <x:v>synthetic-log</x:v>
      </x:c>
      <x:c r="L21" s="3" t="str">
        <x:v>not-established</x:v>
      </x:c>
      <x:c r="M21" s="11" t="n">
        <x:v>1</x:v>
      </x:c>
      <x:c r="N21" s="3" t="str">
        <x:v>documented-consumption-or-leakage</x:v>
      </x:c>
      <x:c r="O21" s="3" t="str">
        <x:v>True</x:v>
      </x:c>
    </x:row>
    <x:row r="22" ht="72" customHeight="1">
      <x:c r="A22" s="10" t="n">
        <x:v>2023</x:v>
      </x:c>
      <x:c r="B22" s="10" t="n">
        <x:v>6</x:v>
      </x:c>
      <x:c r="C22" s="3" t="str">
        <x:v>generator</x:v>
      </x:c>
      <x:c r="D22" s="12" t="n">
        <x:v>46</x:v>
      </x:c>
      <x:c r="E22" s="3" t="str">
        <x:v>liter</x:v>
      </x:c>
      <x:c r="F22" s="3" t="str">
        <x:v>recorded</x:v>
      </x:c>
      <x:c r="G22" s="3" t="str">
        <x:v>2023-generator-06</x:v>
      </x:c>
      <x:c r="H22" s="3" t="str">
        <x:v>221e3fffc0ec0d77a359fd4f1083eac0348fbbfa2c4b30315c900b0edfbd9eed</x:v>
      </x:c>
      <x:c r="I22" s="3" t="str">
        <x:v>simulated-facilities-team</x:v>
      </x:c>
      <x:c r="J22" s="3" t="str">
        <x:v>monthly</x:v>
      </x:c>
      <x:c r="K22" s="3" t="str">
        <x:v>synthetic-log</x:v>
      </x:c>
      <x:c r="L22" s="3" t="str">
        <x:v>not-established</x:v>
      </x:c>
      <x:c r="M22" s="11" t="n">
        <x:v>1</x:v>
      </x:c>
      <x:c r="N22" s="3" t="str">
        <x:v>documented-consumption-or-leakage</x:v>
      </x:c>
      <x:c r="O22" s="3" t="str">
        <x:v>True</x:v>
      </x:c>
    </x:row>
    <x:row r="23" ht="72" customHeight="1">
      <x:c r="A23" s="10" t="n">
        <x:v>2023</x:v>
      </x:c>
      <x:c r="B23" s="10" t="n">
        <x:v>7</x:v>
      </x:c>
      <x:c r="C23" s="3" t="str">
        <x:v>generator</x:v>
      </x:c>
      <x:c r="D23" s="12" t="n">
        <x:v>47</x:v>
      </x:c>
      <x:c r="E23" s="3" t="str">
        <x:v>liter</x:v>
      </x:c>
      <x:c r="F23" s="3" t="str">
        <x:v>recorded</x:v>
      </x:c>
      <x:c r="G23" s="3" t="str">
        <x:v>2023-generator-07</x:v>
      </x:c>
      <x:c r="H23" s="3" t="str">
        <x:v>fe03248cd02bb6f95e1001ffb9fdff996a65b26d5b023460e67aab26bb7ef67c</x:v>
      </x:c>
      <x:c r="I23" s="3" t="str">
        <x:v>simulated-facilities-team</x:v>
      </x:c>
      <x:c r="J23" s="3" t="str">
        <x:v>monthly</x:v>
      </x:c>
      <x:c r="K23" s="3" t="str">
        <x:v>synthetic-log</x:v>
      </x:c>
      <x:c r="L23" s="3" t="str">
        <x:v>not-established</x:v>
      </x:c>
      <x:c r="M23" s="11" t="n">
        <x:v>1</x:v>
      </x:c>
      <x:c r="N23" s="3" t="str">
        <x:v>documented-consumption-or-leakage</x:v>
      </x:c>
      <x:c r="O23" s="3" t="str">
        <x:v>True</x:v>
      </x:c>
    </x:row>
    <x:row r="24" ht="72" customHeight="1">
      <x:c r="A24" s="10" t="n">
        <x:v>2023</x:v>
      </x:c>
      <x:c r="B24" s="10" t="n">
        <x:v>8</x:v>
      </x:c>
      <x:c r="C24" s="3" t="str">
        <x:v>generator</x:v>
      </x:c>
      <x:c r="D24" s="12" t="n">
        <x:v>48</x:v>
      </x:c>
      <x:c r="E24" s="3" t="str">
        <x:v>liter</x:v>
      </x:c>
      <x:c r="F24" s="3" t="str">
        <x:v>recorded</x:v>
      </x:c>
      <x:c r="G24" s="3" t="str">
        <x:v>2023-generator-08</x:v>
      </x:c>
      <x:c r="H24" s="3" t="str">
        <x:v>c26cc5c15b38ea7099c84e97de238734d891efbe0642afb05b1197b628654d77</x:v>
      </x:c>
      <x:c r="I24" s="3" t="str">
        <x:v>simulated-facilities-team</x:v>
      </x:c>
      <x:c r="J24" s="3" t="str">
        <x:v>monthly</x:v>
      </x:c>
      <x:c r="K24" s="3" t="str">
        <x:v>synthetic-log</x:v>
      </x:c>
      <x:c r="L24" s="3" t="str">
        <x:v>not-established</x:v>
      </x:c>
      <x:c r="M24" s="11" t="n">
        <x:v>1</x:v>
      </x:c>
      <x:c r="N24" s="3" t="str">
        <x:v>documented-consumption-or-leakage</x:v>
      </x:c>
      <x:c r="O24" s="3" t="str">
        <x:v>True</x:v>
      </x:c>
    </x:row>
    <x:row r="25" ht="72" customHeight="1">
      <x:c r="A25" s="10" t="n">
        <x:v>2023</x:v>
      </x:c>
      <x:c r="B25" s="10" t="n">
        <x:v>9</x:v>
      </x:c>
      <x:c r="C25" s="3" t="str">
        <x:v>generator</x:v>
      </x:c>
      <x:c r="D25" s="12" t="n">
        <x:v>49</x:v>
      </x:c>
      <x:c r="E25" s="3" t="str">
        <x:v>liter</x:v>
      </x:c>
      <x:c r="F25" s="3" t="str">
        <x:v>recorded</x:v>
      </x:c>
      <x:c r="G25" s="3" t="str">
        <x:v>2023-generator-09</x:v>
      </x:c>
      <x:c r="H25" s="3" t="str">
        <x:v>d9fc35819ecdc9e168d3581a5a0a91c3521f57f745b351d357f637aeb003904f</x:v>
      </x:c>
      <x:c r="I25" s="3" t="str">
        <x:v>simulated-facilities-team</x:v>
      </x:c>
      <x:c r="J25" s="3" t="str">
        <x:v>monthly</x:v>
      </x:c>
      <x:c r="K25" s="3" t="str">
        <x:v>synthetic-log</x:v>
      </x:c>
      <x:c r="L25" s="3" t="str">
        <x:v>not-established</x:v>
      </x:c>
      <x:c r="M25" s="11" t="n">
        <x:v>1</x:v>
      </x:c>
      <x:c r="N25" s="3" t="str">
        <x:v>documented-consumption-or-leakage</x:v>
      </x:c>
      <x:c r="O25" s="3" t="str">
        <x:v>True</x:v>
      </x:c>
    </x:row>
    <x:row r="26" ht="72" customHeight="1">
      <x:c r="A26" s="10" t="n">
        <x:v>2023</x:v>
      </x:c>
      <x:c r="B26" s="10" t="n">
        <x:v>10</x:v>
      </x:c>
      <x:c r="C26" s="3" t="str">
        <x:v>generator</x:v>
      </x:c>
      <x:c r="D26" s="12" t="n">
        <x:v>50</x:v>
      </x:c>
      <x:c r="E26" s="3" t="str">
        <x:v>liter</x:v>
      </x:c>
      <x:c r="F26" s="3" t="str">
        <x:v>recorded</x:v>
      </x:c>
      <x:c r="G26" s="3" t="str">
        <x:v>2023-generator-10</x:v>
      </x:c>
      <x:c r="H26" s="3" t="str">
        <x:v>db57740e1bccd14ca827bb044b9bfb4b0e2b92962ce0512dacc884f89dc70aa6</x:v>
      </x:c>
      <x:c r="I26" s="3" t="str">
        <x:v>simulated-facilities-team</x:v>
      </x:c>
      <x:c r="J26" s="3" t="str">
        <x:v>monthly</x:v>
      </x:c>
      <x:c r="K26" s="3" t="str">
        <x:v>synthetic-log</x:v>
      </x:c>
      <x:c r="L26" s="3" t="str">
        <x:v>not-established</x:v>
      </x:c>
      <x:c r="M26" s="11" t="n">
        <x:v>1</x:v>
      </x:c>
      <x:c r="N26" s="3" t="str">
        <x:v>documented-consumption-or-leakage</x:v>
      </x:c>
      <x:c r="O26" s="3" t="str">
        <x:v>True</x:v>
      </x:c>
    </x:row>
    <x:row r="27" ht="72" customHeight="1">
      <x:c r="A27" s="10" t="n">
        <x:v>2023</x:v>
      </x:c>
      <x:c r="B27" s="10" t="n">
        <x:v>11</x:v>
      </x:c>
      <x:c r="C27" s="3" t="str">
        <x:v>generator</x:v>
      </x:c>
      <x:c r="D27" s="12" t="n">
        <x:v>51</x:v>
      </x:c>
      <x:c r="E27" s="3" t="str">
        <x:v>liter</x:v>
      </x:c>
      <x:c r="F27" s="3" t="str">
        <x:v>recorded</x:v>
      </x:c>
      <x:c r="G27" s="3" t="str">
        <x:v>2023-generator-11</x:v>
      </x:c>
      <x:c r="H27" s="3" t="str">
        <x:v>f30c33e2f6873b82237cb05ac60979d7151586277d06d2e82d9a301c88b0ca6e</x:v>
      </x:c>
      <x:c r="I27" s="3" t="str">
        <x:v>simulated-facilities-team</x:v>
      </x:c>
      <x:c r="J27" s="3" t="str">
        <x:v>monthly</x:v>
      </x:c>
      <x:c r="K27" s="3" t="str">
        <x:v>synthetic-log</x:v>
      </x:c>
      <x:c r="L27" s="3" t="str">
        <x:v>not-established</x:v>
      </x:c>
      <x:c r="M27" s="11" t="n">
        <x:v>1</x:v>
      </x:c>
      <x:c r="N27" s="3" t="str">
        <x:v>documented-consumption-or-leakage</x:v>
      </x:c>
      <x:c r="O27" s="3" t="str">
        <x:v>True</x:v>
      </x:c>
    </x:row>
    <x:row r="28" ht="72" customHeight="1">
      <x:c r="A28" s="10" t="n">
        <x:v>2023</x:v>
      </x:c>
      <x:c r="B28" s="10" t="n">
        <x:v>12</x:v>
      </x:c>
      <x:c r="C28" s="3" t="str">
        <x:v>generator</x:v>
      </x:c>
      <x:c r="D28" s="12" t="n">
        <x:v>52</x:v>
      </x:c>
      <x:c r="E28" s="3" t="str">
        <x:v>liter</x:v>
      </x:c>
      <x:c r="F28" s="3" t="str">
        <x:v>recorded</x:v>
      </x:c>
      <x:c r="G28" s="3" t="str">
        <x:v>2023-generator-12</x:v>
      </x:c>
      <x:c r="H28" s="3" t="str">
        <x:v>77b44ca6a62eb2d5c167caf18e8f89df02eccf64c3ace98d3779c15b59e8bb2f</x:v>
      </x:c>
      <x:c r="I28" s="3" t="str">
        <x:v>simulated-facilities-team</x:v>
      </x:c>
      <x:c r="J28" s="3" t="str">
        <x:v>monthly</x:v>
      </x:c>
      <x:c r="K28" s="3" t="str">
        <x:v>synthetic-log</x:v>
      </x:c>
      <x:c r="L28" s="3" t="str">
        <x:v>not-established</x:v>
      </x:c>
      <x:c r="M28" s="11" t="n">
        <x:v>1</x:v>
      </x:c>
      <x:c r="N28" s="3" t="str">
        <x:v>documented-consumption-or-leakage</x:v>
      </x:c>
      <x:c r="O28" s="3" t="str">
        <x:v>True</x:v>
      </x:c>
    </x:row>
    <x:row r="29" ht="72" customHeight="1">
      <x:c r="A29" s="10" t="n">
        <x:v>2023</x:v>
      </x:c>
      <x:c r="B29" s="10" t="n">
        <x:v>1</x:v>
      </x:c>
      <x:c r="C29" s="3" t="str">
        <x:v>new-generator</x:v>
      </x:c>
      <x:c r="D29" s="12" t="n">
        <x:v>0</x:v>
      </x:c>
      <x:c r="E29" s="3" t="str">
        <x:v>liter</x:v>
      </x:c>
      <x:c r="F29" s="3" t="str">
        <x:v>not-operating</x:v>
      </x:c>
      <x:c r="G29" s="3" t="str">
        <x:v>2023-new-generator-01</x:v>
      </x:c>
      <x:c r="H29" s="3" t="str">
        <x:v>5a0ca92e36d34954155cbc4ddef39058e1804e7988803e17012dc52fff007423</x:v>
      </x:c>
      <x:c r="I29" s="3" t="str">
        <x:v>simulated-facilities-team</x:v>
      </x:c>
      <x:c r="J29" s="3" t="str">
        <x:v>monthly</x:v>
      </x:c>
      <x:c r="K29" s="3" t="str">
        <x:v>synthetic-log</x:v>
      </x:c>
      <x:c r="L29" s="3" t="str">
        <x:v>not-established</x:v>
      </x:c>
      <x:c r="M29" s="11" t="n">
        <x:v>1</x:v>
      </x:c>
      <x:c r="N29" s="3" t="str">
        <x:v>documented-consumption-or-leakage</x:v>
      </x:c>
      <x:c r="O29" s="3" t="str">
        <x:v>True</x:v>
      </x:c>
    </x:row>
    <x:row r="30" ht="72" customHeight="1">
      <x:c r="A30" s="10" t="n">
        <x:v>2023</x:v>
      </x:c>
      <x:c r="B30" s="10" t="n">
        <x:v>2</x:v>
      </x:c>
      <x:c r="C30" s="3" t="str">
        <x:v>new-generator</x:v>
      </x:c>
      <x:c r="D30" s="12" t="n">
        <x:v>0</x:v>
      </x:c>
      <x:c r="E30" s="3" t="str">
        <x:v>liter</x:v>
      </x:c>
      <x:c r="F30" s="3" t="str">
        <x:v>not-operating</x:v>
      </x:c>
      <x:c r="G30" s="3" t="str">
        <x:v>2023-new-generator-02</x:v>
      </x:c>
      <x:c r="H30" s="3" t="str">
        <x:v>c9e0f6e61e2a1face8fd59b872d8f4559f68e345203d859a8a90a553e28466fb</x:v>
      </x:c>
      <x:c r="I30" s="3" t="str">
        <x:v>simulated-facilities-team</x:v>
      </x:c>
      <x:c r="J30" s="3" t="str">
        <x:v>monthly</x:v>
      </x:c>
      <x:c r="K30" s="3" t="str">
        <x:v>synthetic-log</x:v>
      </x:c>
      <x:c r="L30" s="3" t="str">
        <x:v>not-established</x:v>
      </x:c>
      <x:c r="M30" s="11" t="n">
        <x:v>1</x:v>
      </x:c>
      <x:c r="N30" s="3" t="str">
        <x:v>documented-consumption-or-leakage</x:v>
      </x:c>
      <x:c r="O30" s="3" t="str">
        <x:v>True</x:v>
      </x:c>
    </x:row>
    <x:row r="31" ht="72" customHeight="1">
      <x:c r="A31" s="10" t="n">
        <x:v>2023</x:v>
      </x:c>
      <x:c r="B31" s="10" t="n">
        <x:v>3</x:v>
      </x:c>
      <x:c r="C31" s="3" t="str">
        <x:v>new-generator</x:v>
      </x:c>
      <x:c r="D31" s="12" t="n">
        <x:v>0</x:v>
      </x:c>
      <x:c r="E31" s="3" t="str">
        <x:v>liter</x:v>
      </x:c>
      <x:c r="F31" s="3" t="str">
        <x:v>not-operating</x:v>
      </x:c>
      <x:c r="G31" s="3" t="str">
        <x:v>2023-new-generator-03</x:v>
      </x:c>
      <x:c r="H31" s="3" t="str">
        <x:v>d8bff132c9d87085e375eb6a29303c4d3f14a088219dbc98ddf5df60a96c7e6b</x:v>
      </x:c>
      <x:c r="I31" s="3" t="str">
        <x:v>simulated-facilities-team</x:v>
      </x:c>
      <x:c r="J31" s="3" t="str">
        <x:v>monthly</x:v>
      </x:c>
      <x:c r="K31" s="3" t="str">
        <x:v>synthetic-log</x:v>
      </x:c>
      <x:c r="L31" s="3" t="str">
        <x:v>not-established</x:v>
      </x:c>
      <x:c r="M31" s="11" t="n">
        <x:v>1</x:v>
      </x:c>
      <x:c r="N31" s="3" t="str">
        <x:v>documented-consumption-or-leakage</x:v>
      </x:c>
      <x:c r="O31" s="3" t="str">
        <x:v>True</x:v>
      </x:c>
    </x:row>
    <x:row r="32" ht="72" customHeight="1">
      <x:c r="A32" s="10" t="n">
        <x:v>2023</x:v>
      </x:c>
      <x:c r="B32" s="10" t="n">
        <x:v>4</x:v>
      </x:c>
      <x:c r="C32" s="3" t="str">
        <x:v>new-generator</x:v>
      </x:c>
      <x:c r="D32" s="12" t="n">
        <x:v>0</x:v>
      </x:c>
      <x:c r="E32" s="3" t="str">
        <x:v>liter</x:v>
      </x:c>
      <x:c r="F32" s="3" t="str">
        <x:v>not-operating</x:v>
      </x:c>
      <x:c r="G32" s="3" t="str">
        <x:v>2023-new-generator-04</x:v>
      </x:c>
      <x:c r="H32" s="3" t="str">
        <x:v>e76be710dd62b3a0e393d814c6743a15a63f0f4551042d98c935d3158ddcd835</x:v>
      </x:c>
      <x:c r="I32" s="3" t="str">
        <x:v>simulated-facilities-team</x:v>
      </x:c>
      <x:c r="J32" s="3" t="str">
        <x:v>monthly</x:v>
      </x:c>
      <x:c r="K32" s="3" t="str">
        <x:v>synthetic-log</x:v>
      </x:c>
      <x:c r="L32" s="3" t="str">
        <x:v>not-established</x:v>
      </x:c>
      <x:c r="M32" s="11" t="n">
        <x:v>1</x:v>
      </x:c>
      <x:c r="N32" s="3" t="str">
        <x:v>documented-consumption-or-leakage</x:v>
      </x:c>
      <x:c r="O32" s="3" t="str">
        <x:v>True</x:v>
      </x:c>
    </x:row>
    <x:row r="33" ht="72" customHeight="1">
      <x:c r="A33" s="10" t="n">
        <x:v>2023</x:v>
      </x:c>
      <x:c r="B33" s="10" t="n">
        <x:v>5</x:v>
      </x:c>
      <x:c r="C33" s="3" t="str">
        <x:v>new-generator</x:v>
      </x:c>
      <x:c r="D33" s="12" t="n">
        <x:v>0</x:v>
      </x:c>
      <x:c r="E33" s="3" t="str">
        <x:v>liter</x:v>
      </x:c>
      <x:c r="F33" s="3" t="str">
        <x:v>not-operating</x:v>
      </x:c>
      <x:c r="G33" s="3" t="str">
        <x:v>2023-new-generator-05</x:v>
      </x:c>
      <x:c r="H33" s="3" t="str">
        <x:v>1b3ce450971b10efc831e5bb1f16d6fc4e05f8cf6fd504d229f6b5590176c58c</x:v>
      </x:c>
      <x:c r="I33" s="3" t="str">
        <x:v>simulated-facilities-team</x:v>
      </x:c>
      <x:c r="J33" s="3" t="str">
        <x:v>monthly</x:v>
      </x:c>
      <x:c r="K33" s="3" t="str">
        <x:v>synthetic-log</x:v>
      </x:c>
      <x:c r="L33" s="3" t="str">
        <x:v>not-established</x:v>
      </x:c>
      <x:c r="M33" s="11" t="n">
        <x:v>1</x:v>
      </x:c>
      <x:c r="N33" s="3" t="str">
        <x:v>documented-consumption-or-leakage</x:v>
      </x:c>
      <x:c r="O33" s="3" t="str">
        <x:v>True</x:v>
      </x:c>
    </x:row>
    <x:row r="34" ht="72" customHeight="1">
      <x:c r="A34" s="10" t="n">
        <x:v>2023</x:v>
      </x:c>
      <x:c r="B34" s="10" t="n">
        <x:v>6</x:v>
      </x:c>
      <x:c r="C34" s="3" t="str">
        <x:v>new-generator</x:v>
      </x:c>
      <x:c r="D34" s="12" t="n">
        <x:v>0</x:v>
      </x:c>
      <x:c r="E34" s="3" t="str">
        <x:v>liter</x:v>
      </x:c>
      <x:c r="F34" s="3" t="str">
        <x:v>not-operating</x:v>
      </x:c>
      <x:c r="G34" s="3" t="str">
        <x:v>2023-new-generator-06</x:v>
      </x:c>
      <x:c r="H34" s="3" t="str">
        <x:v>12e3b060cbd8aff06ca7c218ae60322a8fca40abc8bafac367a77e3649544223</x:v>
      </x:c>
      <x:c r="I34" s="3" t="str">
        <x:v>simulated-facilities-team</x:v>
      </x:c>
      <x:c r="J34" s="3" t="str">
        <x:v>monthly</x:v>
      </x:c>
      <x:c r="K34" s="3" t="str">
        <x:v>synthetic-log</x:v>
      </x:c>
      <x:c r="L34" s="3" t="str">
        <x:v>not-established</x:v>
      </x:c>
      <x:c r="M34" s="11" t="n">
        <x:v>1</x:v>
      </x:c>
      <x:c r="N34" s="3" t="str">
        <x:v>documented-consumption-or-leakage</x:v>
      </x:c>
      <x:c r="O34" s="3" t="str">
        <x:v>True</x:v>
      </x:c>
    </x:row>
    <x:row r="35" ht="72" customHeight="1">
      <x:c r="A35" s="10" t="n">
        <x:v>2023</x:v>
      </x:c>
      <x:c r="B35" s="10" t="n">
        <x:v>7</x:v>
      </x:c>
      <x:c r="C35" s="3" t="str">
        <x:v>new-generator</x:v>
      </x:c>
      <x:c r="D35" s="12" t="n">
        <x:v>0</x:v>
      </x:c>
      <x:c r="E35" s="3" t="str">
        <x:v>liter</x:v>
      </x:c>
      <x:c r="F35" s="3" t="str">
        <x:v>not-operating</x:v>
      </x:c>
      <x:c r="G35" s="3" t="str">
        <x:v>2023-new-generator-07</x:v>
      </x:c>
      <x:c r="H35" s="3" t="str">
        <x:v>80c97b4cb462b77b88f0d62a20de0c0c8ede0f6026cb3b08aef528fea7fe7904</x:v>
      </x:c>
      <x:c r="I35" s="3" t="str">
        <x:v>simulated-facilities-team</x:v>
      </x:c>
      <x:c r="J35" s="3" t="str">
        <x:v>monthly</x:v>
      </x:c>
      <x:c r="K35" s="3" t="str">
        <x:v>synthetic-log</x:v>
      </x:c>
      <x:c r="L35" s="3" t="str">
        <x:v>not-established</x:v>
      </x:c>
      <x:c r="M35" s="11" t="n">
        <x:v>1</x:v>
      </x:c>
      <x:c r="N35" s="3" t="str">
        <x:v>documented-consumption-or-leakage</x:v>
      </x:c>
      <x:c r="O35" s="3" t="str">
        <x:v>True</x:v>
      </x:c>
    </x:row>
    <x:row r="36" ht="72" customHeight="1">
      <x:c r="A36" s="10" t="n">
        <x:v>2023</x:v>
      </x:c>
      <x:c r="B36" s="10" t="n">
        <x:v>8</x:v>
      </x:c>
      <x:c r="C36" s="3" t="str">
        <x:v>new-generator</x:v>
      </x:c>
      <x:c r="D36" s="12" t="n">
        <x:v>0</x:v>
      </x:c>
      <x:c r="E36" s="3" t="str">
        <x:v>liter</x:v>
      </x:c>
      <x:c r="F36" s="3" t="str">
        <x:v>not-operating</x:v>
      </x:c>
      <x:c r="G36" s="3" t="str">
        <x:v>2023-new-generator-08</x:v>
      </x:c>
      <x:c r="H36" s="3" t="str">
        <x:v>b848be2261a6d2786019a31989a8555119445d078d801de5e0c8d914360dfa4e</x:v>
      </x:c>
      <x:c r="I36" s="3" t="str">
        <x:v>simulated-facilities-team</x:v>
      </x:c>
      <x:c r="J36" s="3" t="str">
        <x:v>monthly</x:v>
      </x:c>
      <x:c r="K36" s="3" t="str">
        <x:v>synthetic-log</x:v>
      </x:c>
      <x:c r="L36" s="3" t="str">
        <x:v>not-established</x:v>
      </x:c>
      <x:c r="M36" s="11" t="n">
        <x:v>1</x:v>
      </x:c>
      <x:c r="N36" s="3" t="str">
        <x:v>documented-consumption-or-leakage</x:v>
      </x:c>
      <x:c r="O36" s="3" t="str">
        <x:v>True</x:v>
      </x:c>
    </x:row>
    <x:row r="37" ht="72" customHeight="1">
      <x:c r="A37" s="10" t="n">
        <x:v>2023</x:v>
      </x:c>
      <x:c r="B37" s="10" t="n">
        <x:v>9</x:v>
      </x:c>
      <x:c r="C37" s="3" t="str">
        <x:v>new-generator</x:v>
      </x:c>
      <x:c r="D37" s="12" t="n">
        <x:v>0</x:v>
      </x:c>
      <x:c r="E37" s="3" t="str">
        <x:v>liter</x:v>
      </x:c>
      <x:c r="F37" s="3" t="str">
        <x:v>not-operating</x:v>
      </x:c>
      <x:c r="G37" s="3" t="str">
        <x:v>2023-new-generator-09</x:v>
      </x:c>
      <x:c r="H37" s="3" t="str">
        <x:v>f129e68d5aa0d37aef296b5fc82a0a8c9bde1bc644801e146053c403db3f652d</x:v>
      </x:c>
      <x:c r="I37" s="3" t="str">
        <x:v>simulated-facilities-team</x:v>
      </x:c>
      <x:c r="J37" s="3" t="str">
        <x:v>monthly</x:v>
      </x:c>
      <x:c r="K37" s="3" t="str">
        <x:v>synthetic-log</x:v>
      </x:c>
      <x:c r="L37" s="3" t="str">
        <x:v>not-established</x:v>
      </x:c>
      <x:c r="M37" s="11" t="n">
        <x:v>1</x:v>
      </x:c>
      <x:c r="N37" s="3" t="str">
        <x:v>documented-consumption-or-leakage</x:v>
      </x:c>
      <x:c r="O37" s="3" t="str">
        <x:v>True</x:v>
      </x:c>
    </x:row>
    <x:row r="38" ht="72" customHeight="1">
      <x:c r="A38" s="10" t="n">
        <x:v>2023</x:v>
      </x:c>
      <x:c r="B38" s="10" t="n">
        <x:v>10</x:v>
      </x:c>
      <x:c r="C38" s="3" t="str">
        <x:v>new-generator</x:v>
      </x:c>
      <x:c r="D38" s="12" t="n">
        <x:v>0</x:v>
      </x:c>
      <x:c r="E38" s="3" t="str">
        <x:v>liter</x:v>
      </x:c>
      <x:c r="F38" s="3" t="str">
        <x:v>not-operating</x:v>
      </x:c>
      <x:c r="G38" s="3" t="str">
        <x:v>2023-new-generator-10</x:v>
      </x:c>
      <x:c r="H38" s="3" t="str">
        <x:v>b46dcf24b5b03a8dcc372276e9aba502d4bcdab87a8ef72518927eba1b49a92d</x:v>
      </x:c>
      <x:c r="I38" s="3" t="str">
        <x:v>simulated-facilities-team</x:v>
      </x:c>
      <x:c r="J38" s="3" t="str">
        <x:v>monthly</x:v>
      </x:c>
      <x:c r="K38" s="3" t="str">
        <x:v>synthetic-log</x:v>
      </x:c>
      <x:c r="L38" s="3" t="str">
        <x:v>not-established</x:v>
      </x:c>
      <x:c r="M38" s="11" t="n">
        <x:v>1</x:v>
      </x:c>
      <x:c r="N38" s="3" t="str">
        <x:v>documented-consumption-or-leakage</x:v>
      </x:c>
      <x:c r="O38" s="3" t="str">
        <x:v>True</x:v>
      </x:c>
    </x:row>
    <x:row r="39" ht="72" customHeight="1">
      <x:c r="A39" s="10" t="n">
        <x:v>2023</x:v>
      </x:c>
      <x:c r="B39" s="10" t="n">
        <x:v>11</x:v>
      </x:c>
      <x:c r="C39" s="3" t="str">
        <x:v>new-generator</x:v>
      </x:c>
      <x:c r="D39" s="12" t="n">
        <x:v>0</x:v>
      </x:c>
      <x:c r="E39" s="3" t="str">
        <x:v>liter</x:v>
      </x:c>
      <x:c r="F39" s="3" t="str">
        <x:v>not-operating</x:v>
      </x:c>
      <x:c r="G39" s="3" t="str">
        <x:v>2023-new-generator-11</x:v>
      </x:c>
      <x:c r="H39" s="3" t="str">
        <x:v>2c93ba9b24da1f8a6291d33e0b69b6e4519aacb4467d1e9356a2f885d8422de9</x:v>
      </x:c>
      <x:c r="I39" s="3" t="str">
        <x:v>simulated-facilities-team</x:v>
      </x:c>
      <x:c r="J39" s="3" t="str">
        <x:v>monthly</x:v>
      </x:c>
      <x:c r="K39" s="3" t="str">
        <x:v>synthetic-log</x:v>
      </x:c>
      <x:c r="L39" s="3" t="str">
        <x:v>not-established</x:v>
      </x:c>
      <x:c r="M39" s="11" t="n">
        <x:v>1</x:v>
      </x:c>
      <x:c r="N39" s="3" t="str">
        <x:v>documented-consumption-or-leakage</x:v>
      </x:c>
      <x:c r="O39" s="3" t="str">
        <x:v>True</x:v>
      </x:c>
    </x:row>
    <x:row r="40" ht="72" customHeight="1">
      <x:c r="A40" s="10" t="n">
        <x:v>2023</x:v>
      </x:c>
      <x:c r="B40" s="10" t="n">
        <x:v>12</x:v>
      </x:c>
      <x:c r="C40" s="3" t="str">
        <x:v>new-generator</x:v>
      </x:c>
      <x:c r="D40" s="12" t="n">
        <x:v>0</x:v>
      </x:c>
      <x:c r="E40" s="3" t="str">
        <x:v>liter</x:v>
      </x:c>
      <x:c r="F40" s="3" t="str">
        <x:v>not-operating</x:v>
      </x:c>
      <x:c r="G40" s="3" t="str">
        <x:v>2023-new-generator-12</x:v>
      </x:c>
      <x:c r="H40" s="3" t="str">
        <x:v>05cd67c81fc028e314e9e13778d1f512a84828a0bb3c26b909b72f3ecf3603f6</x:v>
      </x:c>
      <x:c r="I40" s="3" t="str">
        <x:v>simulated-facilities-team</x:v>
      </x:c>
      <x:c r="J40" s="3" t="str">
        <x:v>monthly</x:v>
      </x:c>
      <x:c r="K40" s="3" t="str">
        <x:v>synthetic-log</x:v>
      </x:c>
      <x:c r="L40" s="3" t="str">
        <x:v>not-established</x:v>
      </x:c>
      <x:c r="M40" s="11" t="n">
        <x:v>1</x:v>
      </x:c>
      <x:c r="N40" s="3" t="str">
        <x:v>documented-consumption-or-leakage</x:v>
      </x:c>
      <x:c r="O40" s="3" t="str">
        <x:v>True</x:v>
      </x:c>
    </x:row>
    <x:row r="41" ht="72" customHeight="1">
      <x:c r="A41" s="10" t="n">
        <x:v>2023</x:v>
      </x:c>
      <x:c r="B41" s="10" t="n">
        <x:v>1</x:v>
      </x:c>
      <x:c r="C41" s="3" t="str">
        <x:v>cooling</x:v>
      </x:c>
      <x:c r="D41" s="12" t="n">
        <x:v>0</x:v>
      </x:c>
      <x:c r="E41" s="3" t="str">
        <x:v>kg</x:v>
      </x:c>
      <x:c r="F41" s="3" t="str">
        <x:v>recorded</x:v>
      </x:c>
      <x:c r="G41" s="3" t="str">
        <x:v>2023-cooling-01</x:v>
      </x:c>
      <x:c r="H41" s="3" t="str">
        <x:v>a9f693102901f3a054133f25311c8387b132887c733b02e28a2ea7a6bc5949f6</x:v>
      </x:c>
      <x:c r="I41" s="3" t="str">
        <x:v>simulated-facilities-team</x:v>
      </x:c>
      <x:c r="J41" s="3" t="str">
        <x:v>monthly</x:v>
      </x:c>
      <x:c r="K41" s="3" t="str">
        <x:v>synthetic-log</x:v>
      </x:c>
      <x:c r="L41" s="3" t="str">
        <x:v>not-established</x:v>
      </x:c>
      <x:c r="M41" s="11" t="n">
        <x:v>1</x:v>
      </x:c>
      <x:c r="N41" s="3" t="str">
        <x:v>documented-consumption-or-leakage</x:v>
      </x:c>
      <x:c r="O41" s="3" t="str">
        <x:v>True</x:v>
      </x:c>
    </x:row>
    <x:row r="42" ht="72" customHeight="1">
      <x:c r="A42" s="10" t="n">
        <x:v>2023</x:v>
      </x:c>
      <x:c r="B42" s="10" t="n">
        <x:v>2</x:v>
      </x:c>
      <x:c r="C42" s="3" t="str">
        <x:v>cooling</x:v>
      </x:c>
      <x:c r="D42" s="12" t="n">
        <x:v>0</x:v>
      </x:c>
      <x:c r="E42" s="3" t="str">
        <x:v>kg</x:v>
      </x:c>
      <x:c r="F42" s="3" t="str">
        <x:v>recorded</x:v>
      </x:c>
      <x:c r="G42" s="3" t="str">
        <x:v>2023-cooling-02</x:v>
      </x:c>
      <x:c r="H42" s="3" t="str">
        <x:v>7b55ba3a26f8beeb546d3e4c934cc7046a352f7c58a81c42fc8212736caeb655</x:v>
      </x:c>
      <x:c r="I42" s="3" t="str">
        <x:v>simulated-facilities-team</x:v>
      </x:c>
      <x:c r="J42" s="3" t="str">
        <x:v>monthly</x:v>
      </x:c>
      <x:c r="K42" s="3" t="str">
        <x:v>synthetic-log</x:v>
      </x:c>
      <x:c r="L42" s="3" t="str">
        <x:v>not-established</x:v>
      </x:c>
      <x:c r="M42" s="11" t="n">
        <x:v>1</x:v>
      </x:c>
      <x:c r="N42" s="3" t="str">
        <x:v>documented-consumption-or-leakage</x:v>
      </x:c>
      <x:c r="O42" s="3" t="str">
        <x:v>True</x:v>
      </x:c>
    </x:row>
    <x:row r="43" ht="72" customHeight="1">
      <x:c r="A43" s="10" t="n">
        <x:v>2023</x:v>
      </x:c>
      <x:c r="B43" s="10" t="n">
        <x:v>3</x:v>
      </x:c>
      <x:c r="C43" s="3" t="str">
        <x:v>cooling</x:v>
      </x:c>
      <x:c r="D43" s="12" t="n">
        <x:v>0</x:v>
      </x:c>
      <x:c r="E43" s="3" t="str">
        <x:v>kg</x:v>
      </x:c>
      <x:c r="F43" s="3" t="str">
        <x:v>recorded</x:v>
      </x:c>
      <x:c r="G43" s="3" t="str">
        <x:v>2023-cooling-03</x:v>
      </x:c>
      <x:c r="H43" s="3" t="str">
        <x:v>32c50d0d0e284a03ca5ac2fe59969b3abf425fc0ca42dd35ac03bb5794af9088</x:v>
      </x:c>
      <x:c r="I43" s="3" t="str">
        <x:v>simulated-facilities-team</x:v>
      </x:c>
      <x:c r="J43" s="3" t="str">
        <x:v>monthly</x:v>
      </x:c>
      <x:c r="K43" s="3" t="str">
        <x:v>synthetic-log</x:v>
      </x:c>
      <x:c r="L43" s="3" t="str">
        <x:v>not-established</x:v>
      </x:c>
      <x:c r="M43" s="11" t="n">
        <x:v>1</x:v>
      </x:c>
      <x:c r="N43" s="3" t="str">
        <x:v>documented-consumption-or-leakage</x:v>
      </x:c>
      <x:c r="O43" s="3" t="str">
        <x:v>True</x:v>
      </x:c>
    </x:row>
    <x:row r="44" ht="72" customHeight="1">
      <x:c r="A44" s="10" t="n">
        <x:v>2023</x:v>
      </x:c>
      <x:c r="B44" s="10" t="n">
        <x:v>4</x:v>
      </x:c>
      <x:c r="C44" s="3" t="str">
        <x:v>cooling</x:v>
      </x:c>
      <x:c r="D44" s="12" t="n">
        <x:v>0</x:v>
      </x:c>
      <x:c r="E44" s="3" t="str">
        <x:v>kg</x:v>
      </x:c>
      <x:c r="F44" s="3" t="str">
        <x:v>recorded</x:v>
      </x:c>
      <x:c r="G44" s="3" t="str">
        <x:v>2023-cooling-04</x:v>
      </x:c>
      <x:c r="H44" s="3" t="str">
        <x:v>091ba340bd01a47fbc005399147d795d04cbd566d475b75c25e55510e17682d6</x:v>
      </x:c>
      <x:c r="I44" s="3" t="str">
        <x:v>simulated-facilities-team</x:v>
      </x:c>
      <x:c r="J44" s="3" t="str">
        <x:v>monthly</x:v>
      </x:c>
      <x:c r="K44" s="3" t="str">
        <x:v>synthetic-log</x:v>
      </x:c>
      <x:c r="L44" s="3" t="str">
        <x:v>not-established</x:v>
      </x:c>
      <x:c r="M44" s="11" t="n">
        <x:v>1</x:v>
      </x:c>
      <x:c r="N44" s="3" t="str">
        <x:v>documented-consumption-or-leakage</x:v>
      </x:c>
      <x:c r="O44" s="3" t="str">
        <x:v>True</x:v>
      </x:c>
    </x:row>
    <x:row r="45" ht="72" customHeight="1">
      <x:c r="A45" s="10" t="n">
        <x:v>2023</x:v>
      </x:c>
      <x:c r="B45" s="10" t="n">
        <x:v>5</x:v>
      </x:c>
      <x:c r="C45" s="3" t="str">
        <x:v>cooling</x:v>
      </x:c>
      <x:c r="D45" s="12" t="n">
        <x:v>0</x:v>
      </x:c>
      <x:c r="E45" s="3" t="str">
        <x:v>kg</x:v>
      </x:c>
      <x:c r="F45" s="3" t="str">
        <x:v>recorded</x:v>
      </x:c>
      <x:c r="G45" s="3" t="str">
        <x:v>2023-cooling-05</x:v>
      </x:c>
      <x:c r="H45" s="3" t="str">
        <x:v>d99e92c1b2256babb192e4cf6c148050800473133a43cb5a63f152c55c011962</x:v>
      </x:c>
      <x:c r="I45" s="3" t="str">
        <x:v>simulated-facilities-team</x:v>
      </x:c>
      <x:c r="J45" s="3" t="str">
        <x:v>monthly</x:v>
      </x:c>
      <x:c r="K45" s="3" t="str">
        <x:v>synthetic-log</x:v>
      </x:c>
      <x:c r="L45" s="3" t="str">
        <x:v>not-established</x:v>
      </x:c>
      <x:c r="M45" s="11" t="n">
        <x:v>1</x:v>
      </x:c>
      <x:c r="N45" s="3" t="str">
        <x:v>documented-consumption-or-leakage</x:v>
      </x:c>
      <x:c r="O45" s="3" t="str">
        <x:v>True</x:v>
      </x:c>
    </x:row>
    <x:row r="46" ht="72" customHeight="1">
      <x:c r="A46" s="10" t="n">
        <x:v>2023</x:v>
      </x:c>
      <x:c r="B46" s="10" t="n">
        <x:v>6</x:v>
      </x:c>
      <x:c r="C46" s="3" t="str">
        <x:v>cooling</x:v>
      </x:c>
      <x:c r="D46" s="12" t="n">
        <x:v>0</x:v>
      </x:c>
      <x:c r="E46" s="3" t="str">
        <x:v>kg</x:v>
      </x:c>
      <x:c r="F46" s="3" t="str">
        <x:v>recorded</x:v>
      </x:c>
      <x:c r="G46" s="3" t="str">
        <x:v>2023-cooling-06</x:v>
      </x:c>
      <x:c r="H46" s="3" t="str">
        <x:v>9ddf537aa4cef843c53e3b1200a2355b3b7a3db05405d0b21a33bdaa27c9376e</x:v>
      </x:c>
      <x:c r="I46" s="3" t="str">
        <x:v>simulated-facilities-team</x:v>
      </x:c>
      <x:c r="J46" s="3" t="str">
        <x:v>monthly</x:v>
      </x:c>
      <x:c r="K46" s="3" t="str">
        <x:v>synthetic-log</x:v>
      </x:c>
      <x:c r="L46" s="3" t="str">
        <x:v>not-established</x:v>
      </x:c>
      <x:c r="M46" s="11" t="n">
        <x:v>1</x:v>
      </x:c>
      <x:c r="N46" s="3" t="str">
        <x:v>documented-consumption-or-leakage</x:v>
      </x:c>
      <x:c r="O46" s="3" t="str">
        <x:v>True</x:v>
      </x:c>
    </x:row>
    <x:row r="47" ht="72" customHeight="1">
      <x:c r="A47" s="10" t="n">
        <x:v>2023</x:v>
      </x:c>
      <x:c r="B47" s="10" t="n">
        <x:v>7</x:v>
      </x:c>
      <x:c r="C47" s="3" t="str">
        <x:v>cooling</x:v>
      </x:c>
      <x:c r="D47" s="12" t="n">
        <x:v>0</x:v>
      </x:c>
      <x:c r="E47" s="3" t="str">
        <x:v>kg</x:v>
      </x:c>
      <x:c r="F47" s="3" t="str">
        <x:v>recorded</x:v>
      </x:c>
      <x:c r="G47" s="3" t="str">
        <x:v>2023-cooling-07</x:v>
      </x:c>
      <x:c r="H47" s="3" t="str">
        <x:v>23c739d9ec4071ad7969d251b64de8687176633234989a047adf3dac8763d38f</x:v>
      </x:c>
      <x:c r="I47" s="3" t="str">
        <x:v>simulated-facilities-team</x:v>
      </x:c>
      <x:c r="J47" s="3" t="str">
        <x:v>monthly</x:v>
      </x:c>
      <x:c r="K47" s="3" t="str">
        <x:v>synthetic-log</x:v>
      </x:c>
      <x:c r="L47" s="3" t="str">
        <x:v>not-established</x:v>
      </x:c>
      <x:c r="M47" s="11" t="n">
        <x:v>1</x:v>
      </x:c>
      <x:c r="N47" s="3" t="str">
        <x:v>documented-consumption-or-leakage</x:v>
      </x:c>
      <x:c r="O47" s="3" t="str">
        <x:v>True</x:v>
      </x:c>
    </x:row>
    <x:row r="48" ht="72" customHeight="1">
      <x:c r="A48" s="10" t="n">
        <x:v>2023</x:v>
      </x:c>
      <x:c r="B48" s="10" t="n">
        <x:v>8</x:v>
      </x:c>
      <x:c r="C48" s="3" t="str">
        <x:v>cooling</x:v>
      </x:c>
      <x:c r="D48" s="12" t="n">
        <x:v>3</x:v>
      </x:c>
      <x:c r="E48" s="3" t="str">
        <x:v>kg</x:v>
      </x:c>
      <x:c r="F48" s="3" t="str">
        <x:v>recorded</x:v>
      </x:c>
      <x:c r="G48" s="3" t="str">
        <x:v>2023-cooling-08</x:v>
      </x:c>
      <x:c r="H48" s="3" t="str">
        <x:v>5b461e4cc0e5903224cc0e387958e628dd2b67a284c20f57173f77acee2412b1</x:v>
      </x:c>
      <x:c r="I48" s="3" t="str">
        <x:v>simulated-facilities-team</x:v>
      </x:c>
      <x:c r="J48" s="3" t="str">
        <x:v>monthly</x:v>
      </x:c>
      <x:c r="K48" s="3" t="str">
        <x:v>synthetic-log</x:v>
      </x:c>
      <x:c r="L48" s="3" t="str">
        <x:v>not-established</x:v>
      </x:c>
      <x:c r="M48" s="11" t="n">
        <x:v>1</x:v>
      </x:c>
      <x:c r="N48" s="3" t="str">
        <x:v>documented-consumption-or-leakage</x:v>
      </x:c>
      <x:c r="O48" s="3" t="str">
        <x:v>True</x:v>
      </x:c>
    </x:row>
    <x:row r="49" ht="72" customHeight="1">
      <x:c r="A49" s="10" t="n">
        <x:v>2023</x:v>
      </x:c>
      <x:c r="B49" s="10" t="n">
        <x:v>9</x:v>
      </x:c>
      <x:c r="C49" s="3" t="str">
        <x:v>cooling</x:v>
      </x:c>
      <x:c r="D49" s="12" t="n">
        <x:v>0</x:v>
      </x:c>
      <x:c r="E49" s="3" t="str">
        <x:v>kg</x:v>
      </x:c>
      <x:c r="F49" s="3" t="str">
        <x:v>recorded</x:v>
      </x:c>
      <x:c r="G49" s="3" t="str">
        <x:v>2023-cooling-09</x:v>
      </x:c>
      <x:c r="H49" s="3" t="str">
        <x:v>47f1be30e3f6a23c0b81e94036e2d6a11588ba5a5a2e83fbb697b0ca37de1e55</x:v>
      </x:c>
      <x:c r="I49" s="3" t="str">
        <x:v>simulated-facilities-team</x:v>
      </x:c>
      <x:c r="J49" s="3" t="str">
        <x:v>monthly</x:v>
      </x:c>
      <x:c r="K49" s="3" t="str">
        <x:v>synthetic-log</x:v>
      </x:c>
      <x:c r="L49" s="3" t="str">
        <x:v>not-established</x:v>
      </x:c>
      <x:c r="M49" s="11" t="n">
        <x:v>1</x:v>
      </x:c>
      <x:c r="N49" s="3" t="str">
        <x:v>documented-consumption-or-leakage</x:v>
      </x:c>
      <x:c r="O49" s="3" t="str">
        <x:v>True</x:v>
      </x:c>
    </x:row>
    <x:row r="50" ht="72" customHeight="1">
      <x:c r="A50" s="10" t="n">
        <x:v>2023</x:v>
      </x:c>
      <x:c r="B50" s="10" t="n">
        <x:v>10</x:v>
      </x:c>
      <x:c r="C50" s="3" t="str">
        <x:v>cooling</x:v>
      </x:c>
      <x:c r="D50" s="12" t="n">
        <x:v>0</x:v>
      </x:c>
      <x:c r="E50" s="3" t="str">
        <x:v>kg</x:v>
      </x:c>
      <x:c r="F50" s="3" t="str">
        <x:v>recorded</x:v>
      </x:c>
      <x:c r="G50" s="3" t="str">
        <x:v>2023-cooling-10</x:v>
      </x:c>
      <x:c r="H50" s="3" t="str">
        <x:v>dd3892c73f80329a4f0f0ee802b2beb65f81d8124ecaa22335718085d2646195</x:v>
      </x:c>
      <x:c r="I50" s="3" t="str">
        <x:v>simulated-facilities-team</x:v>
      </x:c>
      <x:c r="J50" s="3" t="str">
        <x:v>monthly</x:v>
      </x:c>
      <x:c r="K50" s="3" t="str">
        <x:v>synthetic-log</x:v>
      </x:c>
      <x:c r="L50" s="3" t="str">
        <x:v>not-established</x:v>
      </x:c>
      <x:c r="M50" s="11" t="n">
        <x:v>1</x:v>
      </x:c>
      <x:c r="N50" s="3" t="str">
        <x:v>documented-consumption-or-leakage</x:v>
      </x:c>
      <x:c r="O50" s="3" t="str">
        <x:v>True</x:v>
      </x:c>
    </x:row>
    <x:row r="51" ht="72" customHeight="1">
      <x:c r="A51" s="10" t="n">
        <x:v>2023</x:v>
      </x:c>
      <x:c r="B51" s="10" t="n">
        <x:v>11</x:v>
      </x:c>
      <x:c r="C51" s="3" t="str">
        <x:v>cooling</x:v>
      </x:c>
      <x:c r="D51" s="12" t="n">
        <x:v>0</x:v>
      </x:c>
      <x:c r="E51" s="3" t="str">
        <x:v>kg</x:v>
      </x:c>
      <x:c r="F51" s="3" t="str">
        <x:v>recorded</x:v>
      </x:c>
      <x:c r="G51" s="3" t="str">
        <x:v>2023-cooling-11</x:v>
      </x:c>
      <x:c r="H51" s="3" t="str">
        <x:v>70858397688be98d9f09bbf08f9c93f7b64484c8cf60213861339ed01b407087</x:v>
      </x:c>
      <x:c r="I51" s="3" t="str">
        <x:v>simulated-facilities-team</x:v>
      </x:c>
      <x:c r="J51" s="3" t="str">
        <x:v>monthly</x:v>
      </x:c>
      <x:c r="K51" s="3" t="str">
        <x:v>synthetic-log</x:v>
      </x:c>
      <x:c r="L51" s="3" t="str">
        <x:v>not-established</x:v>
      </x:c>
      <x:c r="M51" s="11" t="n">
        <x:v>1</x:v>
      </x:c>
      <x:c r="N51" s="3" t="str">
        <x:v>documented-consumption-or-leakage</x:v>
      </x:c>
      <x:c r="O51" s="3" t="str">
        <x:v>True</x:v>
      </x:c>
    </x:row>
    <x:row r="52" ht="72" customHeight="1">
      <x:c r="A52" s="10" t="n">
        <x:v>2023</x:v>
      </x:c>
      <x:c r="B52" s="10" t="n">
        <x:v>12</x:v>
      </x:c>
      <x:c r="C52" s="3" t="str">
        <x:v>cooling</x:v>
      </x:c>
      <x:c r="D52" s="12" t="n">
        <x:v>0</x:v>
      </x:c>
      <x:c r="E52" s="3" t="str">
        <x:v>kg</x:v>
      </x:c>
      <x:c r="F52" s="3" t="str">
        <x:v>recorded</x:v>
      </x:c>
      <x:c r="G52" s="3" t="str">
        <x:v>2023-cooling-12</x:v>
      </x:c>
      <x:c r="H52" s="3" t="str">
        <x:v>3ff7d50bb197f9745f88156751e0a987bd765aa24ef826433860b7c605927659</x:v>
      </x:c>
      <x:c r="I52" s="3" t="str">
        <x:v>simulated-facilities-team</x:v>
      </x:c>
      <x:c r="J52" s="3" t="str">
        <x:v>monthly</x:v>
      </x:c>
      <x:c r="K52" s="3" t="str">
        <x:v>synthetic-log</x:v>
      </x:c>
      <x:c r="L52" s="3" t="str">
        <x:v>not-established</x:v>
      </x:c>
      <x:c r="M52" s="11" t="n">
        <x:v>1</x:v>
      </x:c>
      <x:c r="N52" s="3" t="str">
        <x:v>documented-consumption-or-leakage</x:v>
      </x:c>
      <x:c r="O52" s="3" t="str">
        <x:v>True</x:v>
      </x:c>
    </x:row>
    <x:row r="53" ht="72" customHeight="1">
      <x:c r="A53" s="10" t="n">
        <x:v>2023</x:v>
      </x:c>
      <x:c r="B53" s="10" t="n">
        <x:v>1</x:v>
      </x:c>
      <x:c r="C53" s="3" t="str">
        <x:v>electricity</x:v>
      </x:c>
      <x:c r="D53" s="12" t="n">
        <x:v>10100</x:v>
      </x:c>
      <x:c r="E53" s="3" t="str">
        <x:v>kWh</x:v>
      </x:c>
      <x:c r="F53" s="3" t="str">
        <x:v>recorded</x:v>
      </x:c>
      <x:c r="G53" s="3" t="str">
        <x:v>2023-electricity-01</x:v>
      </x:c>
      <x:c r="H53" s="3" t="str">
        <x:v>134803bb75d213af2cd1314cf9db091d7f447755b4b96977ded1ae224b60d223</x:v>
      </x:c>
      <x:c r="I53" s="3" t="str">
        <x:v>simulated-facilities-team</x:v>
      </x:c>
      <x:c r="J53" s="3" t="str">
        <x:v>monthly</x:v>
      </x:c>
      <x:c r="K53" s="3" t="str">
        <x:v>synthetic-log</x:v>
      </x:c>
      <x:c r="L53" s="3" t="str">
        <x:v>not-established</x:v>
      </x:c>
      <x:c r="M53" s="11" t="n">
        <x:v>1</x:v>
      </x:c>
      <x:c r="N53" s="3" t="str">
        <x:v>documented-consumption-or-leakage</x:v>
      </x:c>
      <x:c r="O53" s="3" t="str">
        <x:v>True</x:v>
      </x:c>
    </x:row>
    <x:row r="54" ht="72" customHeight="1">
      <x:c r="A54" s="10" t="n">
        <x:v>2023</x:v>
      </x:c>
      <x:c r="B54" s="10" t="n">
        <x:v>2</x:v>
      </x:c>
      <x:c r="C54" s="3" t="str">
        <x:v>electricity</x:v>
      </x:c>
      <x:c r="D54" s="12" t="n">
        <x:v>10200</x:v>
      </x:c>
      <x:c r="E54" s="3" t="str">
        <x:v>kWh</x:v>
      </x:c>
      <x:c r="F54" s="3" t="str">
        <x:v>recorded</x:v>
      </x:c>
      <x:c r="G54" s="3" t="str">
        <x:v>2023-electricity-02</x:v>
      </x:c>
      <x:c r="H54" s="3" t="str">
        <x:v>4f7cf392a98379ec199597628ae0c35d9e6276388679b06a52f1e5fca1ee1ac9</x:v>
      </x:c>
      <x:c r="I54" s="3" t="str">
        <x:v>simulated-facilities-team</x:v>
      </x:c>
      <x:c r="J54" s="3" t="str">
        <x:v>monthly</x:v>
      </x:c>
      <x:c r="K54" s="3" t="str">
        <x:v>synthetic-log</x:v>
      </x:c>
      <x:c r="L54" s="3" t="str">
        <x:v>not-established</x:v>
      </x:c>
      <x:c r="M54" s="11" t="n">
        <x:v>1</x:v>
      </x:c>
      <x:c r="N54" s="3" t="str">
        <x:v>documented-consumption-or-leakage</x:v>
      </x:c>
      <x:c r="O54" s="3" t="str">
        <x:v>True</x:v>
      </x:c>
    </x:row>
    <x:row r="55" ht="72" customHeight="1">
      <x:c r="A55" s="10" t="n">
        <x:v>2023</x:v>
      </x:c>
      <x:c r="B55" s="10" t="n">
        <x:v>3</x:v>
      </x:c>
      <x:c r="C55" s="3" t="str">
        <x:v>electricity</x:v>
      </x:c>
      <x:c r="D55" s="12" t="n">
        <x:v>10300</x:v>
      </x:c>
      <x:c r="E55" s="3" t="str">
        <x:v>kWh</x:v>
      </x:c>
      <x:c r="F55" s="3" t="str">
        <x:v>recorded</x:v>
      </x:c>
      <x:c r="G55" s="3" t="str">
        <x:v>2023-electricity-03</x:v>
      </x:c>
      <x:c r="H55" s="3" t="str">
        <x:v>cd5903122ab428623d6bde0217d6b4d48f68c383ed4bab9c699c0533152ccaab</x:v>
      </x:c>
      <x:c r="I55" s="3" t="str">
        <x:v>simulated-facilities-team</x:v>
      </x:c>
      <x:c r="J55" s="3" t="str">
        <x:v>monthly</x:v>
      </x:c>
      <x:c r="K55" s="3" t="str">
        <x:v>synthetic-log</x:v>
      </x:c>
      <x:c r="L55" s="3" t="str">
        <x:v>not-established</x:v>
      </x:c>
      <x:c r="M55" s="11" t="n">
        <x:v>1</x:v>
      </x:c>
      <x:c r="N55" s="3" t="str">
        <x:v>documented-consumption-or-leakage</x:v>
      </x:c>
      <x:c r="O55" s="3" t="str">
        <x:v>True</x:v>
      </x:c>
    </x:row>
    <x:row r="56" ht="72" customHeight="1">
      <x:c r="A56" s="10" t="n">
        <x:v>2023</x:v>
      </x:c>
      <x:c r="B56" s="10" t="n">
        <x:v>4</x:v>
      </x:c>
      <x:c r="C56" s="3" t="str">
        <x:v>electricity</x:v>
      </x:c>
      <x:c r="D56" s="12" t="n">
        <x:v>10400</x:v>
      </x:c>
      <x:c r="E56" s="3" t="str">
        <x:v>kWh</x:v>
      </x:c>
      <x:c r="F56" s="3" t="str">
        <x:v>recorded</x:v>
      </x:c>
      <x:c r="G56" s="3" t="str">
        <x:v>2023-electricity-04</x:v>
      </x:c>
      <x:c r="H56" s="3" t="str">
        <x:v>0c59f10fc805053dda07266b48a4d5c66805cd082fc3172d08c78d1af1381b4c</x:v>
      </x:c>
      <x:c r="I56" s="3" t="str">
        <x:v>simulated-facilities-team</x:v>
      </x:c>
      <x:c r="J56" s="3" t="str">
        <x:v>monthly</x:v>
      </x:c>
      <x:c r="K56" s="3" t="str">
        <x:v>synthetic-log</x:v>
      </x:c>
      <x:c r="L56" s="3" t="str">
        <x:v>not-established</x:v>
      </x:c>
      <x:c r="M56" s="11" t="n">
        <x:v>1</x:v>
      </x:c>
      <x:c r="N56" s="3" t="str">
        <x:v>documented-consumption-or-leakage</x:v>
      </x:c>
      <x:c r="O56" s="3" t="str">
        <x:v>True</x:v>
      </x:c>
    </x:row>
    <x:row r="57" ht="72" customHeight="1">
      <x:c r="A57" s="10" t="n">
        <x:v>2023</x:v>
      </x:c>
      <x:c r="B57" s="10" t="n">
        <x:v>5</x:v>
      </x:c>
      <x:c r="C57" s="3" t="str">
        <x:v>electricity</x:v>
      </x:c>
      <x:c r="D57" s="12" t="n">
        <x:v>10500</x:v>
      </x:c>
      <x:c r="E57" s="3" t="str">
        <x:v>kWh</x:v>
      </x:c>
      <x:c r="F57" s="3" t="str">
        <x:v>recorded</x:v>
      </x:c>
      <x:c r="G57" s="3" t="str">
        <x:v>2023-electricity-05</x:v>
      </x:c>
      <x:c r="H57" s="3" t="str">
        <x:v>d453185ca273575e7eea0778b916321fab285eecf84d86080cd27937c1e499c9</x:v>
      </x:c>
      <x:c r="I57" s="3" t="str">
        <x:v>simulated-facilities-team</x:v>
      </x:c>
      <x:c r="J57" s="3" t="str">
        <x:v>monthly</x:v>
      </x:c>
      <x:c r="K57" s="3" t="str">
        <x:v>synthetic-log</x:v>
      </x:c>
      <x:c r="L57" s="3" t="str">
        <x:v>not-established</x:v>
      </x:c>
      <x:c r="M57" s="11" t="n">
        <x:v>1</x:v>
      </x:c>
      <x:c r="N57" s="3" t="str">
        <x:v>documented-consumption-or-leakage</x:v>
      </x:c>
      <x:c r="O57" s="3" t="str">
        <x:v>True</x:v>
      </x:c>
    </x:row>
    <x:row r="58" ht="72" customHeight="1">
      <x:c r="A58" s="10" t="n">
        <x:v>2023</x:v>
      </x:c>
      <x:c r="B58" s="10" t="n">
        <x:v>6</x:v>
      </x:c>
      <x:c r="C58" s="3" t="str">
        <x:v>electricity</x:v>
      </x:c>
      <x:c r="D58" s="12" t="n">
        <x:v>10600</x:v>
      </x:c>
      <x:c r="E58" s="3" t="str">
        <x:v>kWh</x:v>
      </x:c>
      <x:c r="F58" s="3" t="str">
        <x:v>recorded</x:v>
      </x:c>
      <x:c r="G58" s="3" t="str">
        <x:v>2023-electricity-06</x:v>
      </x:c>
      <x:c r="H58" s="3" t="str">
        <x:v>f12418c6a0b9c48e88ba1e8fb8b1d12dd195bddaa382b02d475ded13cacec9c6</x:v>
      </x:c>
      <x:c r="I58" s="3" t="str">
        <x:v>simulated-facilities-team</x:v>
      </x:c>
      <x:c r="J58" s="3" t="str">
        <x:v>monthly</x:v>
      </x:c>
      <x:c r="K58" s="3" t="str">
        <x:v>synthetic-log</x:v>
      </x:c>
      <x:c r="L58" s="3" t="str">
        <x:v>not-established</x:v>
      </x:c>
      <x:c r="M58" s="11" t="n">
        <x:v>1</x:v>
      </x:c>
      <x:c r="N58" s="3" t="str">
        <x:v>documented-consumption-or-leakage</x:v>
      </x:c>
      <x:c r="O58" s="3" t="str">
        <x:v>True</x:v>
      </x:c>
    </x:row>
    <x:row r="59" ht="72" customHeight="1">
      <x:c r="A59" s="10" t="n">
        <x:v>2023</x:v>
      </x:c>
      <x:c r="B59" s="10" t="n">
        <x:v>7</x:v>
      </x:c>
      <x:c r="C59" s="3" t="str">
        <x:v>electricity</x:v>
      </x:c>
      <x:c r="D59" s="12" t="n">
        <x:v>10700</x:v>
      </x:c>
      <x:c r="E59" s="3" t="str">
        <x:v>kWh</x:v>
      </x:c>
      <x:c r="F59" s="3" t="str">
        <x:v>recorded</x:v>
      </x:c>
      <x:c r="G59" s="3" t="str">
        <x:v>2023-electricity-07</x:v>
      </x:c>
      <x:c r="H59" s="3" t="str">
        <x:v>31613885d73869cde1c05f210e9592837af4a0a3091fd39d9b33b321deb2914d</x:v>
      </x:c>
      <x:c r="I59" s="3" t="str">
        <x:v>simulated-facilities-team</x:v>
      </x:c>
      <x:c r="J59" s="3" t="str">
        <x:v>monthly</x:v>
      </x:c>
      <x:c r="K59" s="3" t="str">
        <x:v>synthetic-log</x:v>
      </x:c>
      <x:c r="L59" s="3" t="str">
        <x:v>not-established</x:v>
      </x:c>
      <x:c r="M59" s="11" t="n">
        <x:v>1</x:v>
      </x:c>
      <x:c r="N59" s="3" t="str">
        <x:v>documented-consumption-or-leakage</x:v>
      </x:c>
      <x:c r="O59" s="3" t="str">
        <x:v>True</x:v>
      </x:c>
    </x:row>
    <x:row r="60" ht="72" customHeight="1">
      <x:c r="A60" s="10" t="n">
        <x:v>2023</x:v>
      </x:c>
      <x:c r="B60" s="10" t="n">
        <x:v>8</x:v>
      </x:c>
      <x:c r="C60" s="3" t="str">
        <x:v>electricity</x:v>
      </x:c>
      <x:c r="D60" s="12" t="n">
        <x:v>10800</x:v>
      </x:c>
      <x:c r="E60" s="3" t="str">
        <x:v>kWh</x:v>
      </x:c>
      <x:c r="F60" s="3" t="str">
        <x:v>recorded</x:v>
      </x:c>
      <x:c r="G60" s="3" t="str">
        <x:v>2023-electricity-08</x:v>
      </x:c>
      <x:c r="H60" s="3" t="str">
        <x:v>b9fe672dc99e925ee9401ef3415e8182321986b0dbb9d95e918ca92a39bc0d39</x:v>
      </x:c>
      <x:c r="I60" s="3" t="str">
        <x:v>simulated-facilities-team</x:v>
      </x:c>
      <x:c r="J60" s="3" t="str">
        <x:v>monthly</x:v>
      </x:c>
      <x:c r="K60" s="3" t="str">
        <x:v>synthetic-log</x:v>
      </x:c>
      <x:c r="L60" s="3" t="str">
        <x:v>not-established</x:v>
      </x:c>
      <x:c r="M60" s="11" t="n">
        <x:v>1</x:v>
      </x:c>
      <x:c r="N60" s="3" t="str">
        <x:v>documented-consumption-or-leakage</x:v>
      </x:c>
      <x:c r="O60" s="3" t="str">
        <x:v>True</x:v>
      </x:c>
    </x:row>
    <x:row r="61" ht="72" customHeight="1">
      <x:c r="A61" s="10" t="n">
        <x:v>2023</x:v>
      </x:c>
      <x:c r="B61" s="10" t="n">
        <x:v>9</x:v>
      </x:c>
      <x:c r="C61" s="3" t="str">
        <x:v>electricity</x:v>
      </x:c>
      <x:c r="D61" s="12" t="n">
        <x:v>10900</x:v>
      </x:c>
      <x:c r="E61" s="3" t="str">
        <x:v>kWh</x:v>
      </x:c>
      <x:c r="F61" s="3" t="str">
        <x:v>recorded</x:v>
      </x:c>
      <x:c r="G61" s="3" t="str">
        <x:v>2023-electricity-09</x:v>
      </x:c>
      <x:c r="H61" s="3" t="str">
        <x:v>d47fbb3316ec5fd95ab26b535c28f1bda94e3334899358cb9db418d3e58e9d61</x:v>
      </x:c>
      <x:c r="I61" s="3" t="str">
        <x:v>simulated-facilities-team</x:v>
      </x:c>
      <x:c r="J61" s="3" t="str">
        <x:v>monthly</x:v>
      </x:c>
      <x:c r="K61" s="3" t="str">
        <x:v>synthetic-log</x:v>
      </x:c>
      <x:c r="L61" s="3" t="str">
        <x:v>not-established</x:v>
      </x:c>
      <x:c r="M61" s="11" t="n">
        <x:v>1</x:v>
      </x:c>
      <x:c r="N61" s="3" t="str">
        <x:v>documented-consumption-or-leakage</x:v>
      </x:c>
      <x:c r="O61" s="3" t="str">
        <x:v>True</x:v>
      </x:c>
    </x:row>
    <x:row r="62" ht="72" customHeight="1">
      <x:c r="A62" s="10" t="n">
        <x:v>2023</x:v>
      </x:c>
      <x:c r="B62" s="10" t="n">
        <x:v>10</x:v>
      </x:c>
      <x:c r="C62" s="3" t="str">
        <x:v>electricity</x:v>
      </x:c>
      <x:c r="D62" s="12" t="n">
        <x:v>11000</x:v>
      </x:c>
      <x:c r="E62" s="3" t="str">
        <x:v>kWh</x:v>
      </x:c>
      <x:c r="F62" s="3" t="str">
        <x:v>recorded</x:v>
      </x:c>
      <x:c r="G62" s="3" t="str">
        <x:v>2023-electricity-10</x:v>
      </x:c>
      <x:c r="H62" s="3" t="str">
        <x:v>a0e6a63100dfa27dd217f550e45f6d54a29ee7911d6acedeb465901020c0cb6c</x:v>
      </x:c>
      <x:c r="I62" s="3" t="str">
        <x:v>simulated-facilities-team</x:v>
      </x:c>
      <x:c r="J62" s="3" t="str">
        <x:v>monthly</x:v>
      </x:c>
      <x:c r="K62" s="3" t="str">
        <x:v>synthetic-log</x:v>
      </x:c>
      <x:c r="L62" s="3" t="str">
        <x:v>not-established</x:v>
      </x:c>
      <x:c r="M62" s="11" t="n">
        <x:v>1</x:v>
      </x:c>
      <x:c r="N62" s="3" t="str">
        <x:v>documented-consumption-or-leakage</x:v>
      </x:c>
      <x:c r="O62" s="3" t="str">
        <x:v>True</x:v>
      </x:c>
    </x:row>
    <x:row r="63" ht="72" customHeight="1">
      <x:c r="A63" s="10" t="n">
        <x:v>2023</x:v>
      </x:c>
      <x:c r="B63" s="10" t="n">
        <x:v>11</x:v>
      </x:c>
      <x:c r="C63" s="3" t="str">
        <x:v>electricity</x:v>
      </x:c>
      <x:c r="D63" s="12" t="n">
        <x:v>11100</x:v>
      </x:c>
      <x:c r="E63" s="3" t="str">
        <x:v>kWh</x:v>
      </x:c>
      <x:c r="F63" s="3" t="str">
        <x:v>recorded</x:v>
      </x:c>
      <x:c r="G63" s="3" t="str">
        <x:v>2023-electricity-11</x:v>
      </x:c>
      <x:c r="H63" s="3" t="str">
        <x:v>209839b9a0fb3f2c55f3063d356d4479c16d1baa4ee4cd59bcdb5ab7867759e5</x:v>
      </x:c>
      <x:c r="I63" s="3" t="str">
        <x:v>simulated-facilities-team</x:v>
      </x:c>
      <x:c r="J63" s="3" t="str">
        <x:v>monthly</x:v>
      </x:c>
      <x:c r="K63" s="3" t="str">
        <x:v>synthetic-log</x:v>
      </x:c>
      <x:c r="L63" s="3" t="str">
        <x:v>not-established</x:v>
      </x:c>
      <x:c r="M63" s="11" t="n">
        <x:v>1</x:v>
      </x:c>
      <x:c r="N63" s="3" t="str">
        <x:v>documented-consumption-or-leakage</x:v>
      </x:c>
      <x:c r="O63" s="3" t="str">
        <x:v>True</x:v>
      </x:c>
    </x:row>
    <x:row r="64" ht="72" customHeight="1">
      <x:c r="A64" s="10" t="n">
        <x:v>2023</x:v>
      </x:c>
      <x:c r="B64" s="10" t="n">
        <x:v>12</x:v>
      </x:c>
      <x:c r="C64" s="3" t="str">
        <x:v>electricity</x:v>
      </x:c>
      <x:c r="D64" s="12" t="n">
        <x:v>11200</x:v>
      </x:c>
      <x:c r="E64" s="3" t="str">
        <x:v>kWh</x:v>
      </x:c>
      <x:c r="F64" s="3" t="str">
        <x:v>recorded</x:v>
      </x:c>
      <x:c r="G64" s="3" t="str">
        <x:v>2023-electricity-12</x:v>
      </x:c>
      <x:c r="H64" s="3" t="str">
        <x:v>e3e7529ccd819df786cb933340c177ba2bd8c94239df64f8f5845d484d58668b</x:v>
      </x:c>
      <x:c r="I64" s="3" t="str">
        <x:v>simulated-facilities-team</x:v>
      </x:c>
      <x:c r="J64" s="3" t="str">
        <x:v>monthly</x:v>
      </x:c>
      <x:c r="K64" s="3" t="str">
        <x:v>synthetic-log</x:v>
      </x:c>
      <x:c r="L64" s="3" t="str">
        <x:v>not-established</x:v>
      </x:c>
      <x:c r="M64" s="11" t="n">
        <x:v>1</x:v>
      </x:c>
      <x:c r="N64" s="3" t="str">
        <x:v>documented-consumption-or-leakage</x:v>
      </x:c>
      <x:c r="O64" s="3" t="str">
        <x:v>True</x:v>
      </x:c>
    </x:row>
  </x:sheetData>
  <x:mergeCells>
    <x:mergeCell ref="A1:F1"/>
    <x:mergeCell ref="A2:F2"/>
  </x:mergeCells>
  <x:dataValidations count="2">
    <x:dataValidation type="list" sqref="B5:B64">
      <x:formula1>"1,2,3,4,5,6,7,8,9,10,11,12"</x:formula1>
    </x:dataValidation>
    <x:dataValidation type="list" sqref="C5:C64">
      <x:formula1>"boiler,generator,new-generator,cooling,electricity"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4" hidden="0" customWidth="1"/>
    <x:col min="2" max="2" width="30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30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</x:cols>
  <x:sheetData>
    <x:row r="1" ht="40" customHeight="1">
      <x:c r="A1" s="5" t="str">
        <x:v>分氣體定量盤查｜2023 年合成範例</x:v>
      </x:c>
      <x:c r="B1" s="5"/>
      <x:c r="C1" s="5"/>
      <x:c r="D1" s="5"/>
      <x:c r="E1" s="5"/>
      <x:c r="F1" s="5"/>
      <x:c r="G1" s="3"/>
      <x:c r="H1" s="3"/>
      <x:c r="I1" s="3"/>
      <x:c r="J1" s="3"/>
      <x:c r="K1" s="3"/>
      <x:c r="L1" s="3"/>
      <x:c r="M1" s="3"/>
      <x:c r="N1" s="3"/>
    </x:row>
    <x:row r="2" ht="34" customHeight="1">
      <x:c r="A2" s="7" t="str">
        <x:v>非官方申報檔；合成案例不是查驗意見。完整欄位說明及來源見 Repo README、FIELD_MAP、SOURCES。</x:v>
      </x:c>
      <x:c r="B2" s="7"/>
      <x:c r="C2" s="7"/>
      <x:c r="D2" s="7"/>
      <x:c r="E2" s="7"/>
      <x:c r="F2" s="7"/>
      <x:c r="G2" s="3"/>
      <x:c r="H2" s="3"/>
      <x:c r="I2" s="3"/>
      <x:c r="J2" s="3"/>
      <x:c r="K2" s="3"/>
      <x:c r="L2" s="3"/>
      <x:c r="M2" s="3"/>
      <x:c r="N2" s="3"/>
    </x:row>
    <x:row r="3" ht="72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64" customHeight="1">
      <x:c r="A4" s="9" t="str">
        <x:v>年度 year</x:v>
      </x:c>
      <x:c r="B4" s="9" t="str">
        <x:v>排放源 ID</x:v>
      </x:c>
      <x:c r="C4" s="9" t="str">
        <x:v>氣體 gas</x:v>
      </x:c>
      <x:c r="D4" s="9" t="str">
        <x:v>年度活動數據</x:v>
      </x:c>
      <x:c r="E4" s="9" t="str">
        <x:v>單位 unit</x:v>
      </x:c>
      <x:c r="F4" s="9" t="str">
        <x:v>低位熱值 MJ/單位</x:v>
      </x:c>
      <x:c r="G4" s="9" t="str">
        <x:v>排放係數</x:v>
      </x:c>
      <x:c r="H4" s="9" t="str">
        <x:v>係數單位</x:v>
      </x:c>
      <x:c r="I4" s="9" t="str">
        <x:v>係數來源 ID</x:v>
      </x:c>
      <x:c r="J4" s="9" t="str">
        <x:v>GWP (100年)</x:v>
      </x:c>
      <x:c r="K4" s="9" t="str">
        <x:v>GWP 依據</x:v>
      </x:c>
      <x:c r="L4" s="9" t="str">
        <x:v>氣體排放 kg</x:v>
      </x:c>
      <x:c r="M4" s="9" t="str">
        <x:v>排放當量 kgCO2e</x:v>
      </x:c>
      <x:c r="N4" s="9" t="str">
        <x:v>是否合成資料</x:v>
      </x:c>
    </x:row>
    <x:row r="5" ht="72" customHeight="1">
      <x:c r="A5" s="10" t="n">
        <x:v>2023</x:v>
      </x:c>
      <x:c r="B5" s="3" t="str">
        <x:v>boiler</x:v>
      </x:c>
      <x:c r="C5" s="3" t="str">
        <x:v>CO2</x:v>
      </x:c>
      <x:c r="D5" s="18" t="n">
        <x:f>IF(COUNT('04 Activity'!D5:D16)&lt;&gt;12,"MISSING",SUM('04 Activity'!D5:D16))</x:f>
        <x:v>12780</x:v>
      </x:c>
      <x:c r="E5" s="3" t="str">
        <x:v>meter ** 3</x:v>
      </x:c>
      <x:c r="F5" s="11" t="n">
        <x:v>38</x:v>
      </x:c>
      <x:c r="G5" s="11" t="n">
        <x:v>56100</x:v>
      </x:c>
      <x:c r="H5" s="3" t="str">
        <x:v>kg-gas/TJ</x:v>
      </x:c>
      <x:c r="I5" s="3" t="str">
        <x:v>official-factors</x:v>
      </x:c>
      <x:c r="J5" s="11" t="n">
        <x:v>1</x:v>
      </x:c>
      <x:c r="K5" s="3" t="str">
        <x:v>MOENV-113-AR5-100y</x:v>
      </x:c>
      <x:c r="L5" s="18" t="n">
        <x:f>IF(ISNUMBER(D5),D5*G5*F5/1000000,"MISSING")</x:f>
        <x:v>27244.404</x:v>
      </x:c>
      <x:c r="M5" s="18" t="n">
        <x:f>IF(ISNUMBER(D5),L5*J5,"MISSING")</x:f>
        <x:v>27244.404</x:v>
      </x:c>
      <x:c r="N5" s="3" t="str">
        <x:v>True</x:v>
      </x:c>
    </x:row>
    <x:row r="6" ht="72" customHeight="1">
      <x:c r="A6" s="10" t="n">
        <x:v>2023</x:v>
      </x:c>
      <x:c r="B6" s="3" t="str">
        <x:v>boiler</x:v>
      </x:c>
      <x:c r="C6" s="3" t="str">
        <x:v>CH4</x:v>
      </x:c>
      <x:c r="D6" s="18" t="n">
        <x:f>IF(COUNT('04 Activity'!D5:D16)&lt;&gt;12,"MISSING",SUM('04 Activity'!D5:D16))</x:f>
        <x:v>12780</x:v>
      </x:c>
      <x:c r="E6" s="3" t="str">
        <x:v>meter ** 3</x:v>
      </x:c>
      <x:c r="F6" s="11" t="n">
        <x:v>38</x:v>
      </x:c>
      <x:c r="G6" s="11" t="n">
        <x:v>1</x:v>
      </x:c>
      <x:c r="H6" s="3" t="str">
        <x:v>kg-gas/TJ</x:v>
      </x:c>
      <x:c r="I6" s="3" t="str">
        <x:v>official-factors</x:v>
      </x:c>
      <x:c r="J6" s="11" t="n">
        <x:v>28</x:v>
      </x:c>
      <x:c r="K6" s="3" t="str">
        <x:v>MOENV-113-AR5-100y</x:v>
      </x:c>
      <x:c r="L6" s="18" t="n">
        <x:f>IF(ISNUMBER(D6),D6*G6*F6/1000000,"MISSING")</x:f>
        <x:v>0.48564</x:v>
      </x:c>
      <x:c r="M6" s="18" t="n">
        <x:f>IF(ISNUMBER(D6),L6*J6,"MISSING")</x:f>
        <x:v>13.59792</x:v>
      </x:c>
      <x:c r="N6" s="3" t="str">
        <x:v>True</x:v>
      </x:c>
    </x:row>
    <x:row r="7" ht="72" customHeight="1">
      <x:c r="A7" s="10" t="n">
        <x:v>2023</x:v>
      </x:c>
      <x:c r="B7" s="3" t="str">
        <x:v>boiler</x:v>
      </x:c>
      <x:c r="C7" s="3" t="str">
        <x:v>N2O</x:v>
      </x:c>
      <x:c r="D7" s="18" t="n">
        <x:f>IF(COUNT('04 Activity'!D5:D16)&lt;&gt;12,"MISSING",SUM('04 Activity'!D5:D16))</x:f>
        <x:v>12780</x:v>
      </x:c>
      <x:c r="E7" s="3" t="str">
        <x:v>meter ** 3</x:v>
      </x:c>
      <x:c r="F7" s="11" t="n">
        <x:v>38</x:v>
      </x:c>
      <x:c r="G7" s="11" t="n">
        <x:v>0.1</x:v>
      </x:c>
      <x:c r="H7" s="3" t="str">
        <x:v>kg-gas/TJ</x:v>
      </x:c>
      <x:c r="I7" s="3" t="str">
        <x:v>official-factors</x:v>
      </x:c>
      <x:c r="J7" s="11" t="n">
        <x:v>265</x:v>
      </x:c>
      <x:c r="K7" s="3" t="str">
        <x:v>MOENV-113-AR5-100y</x:v>
      </x:c>
      <x:c r="L7" s="18" t="n">
        <x:f>IF(ISNUMBER(D7),D7*G7*F7/1000000,"MISSING")</x:f>
        <x:v>0.048564</x:v>
      </x:c>
      <x:c r="M7" s="18" t="n">
        <x:f>IF(ISNUMBER(D7),L7*J7,"MISSING")</x:f>
        <x:v>12.86946</x:v>
      </x:c>
      <x:c r="N7" s="3" t="str">
        <x:v>True</x:v>
      </x:c>
    </x:row>
    <x:row r="8" ht="72" customHeight="1">
      <x:c r="A8" s="10" t="n">
        <x:v>2023</x:v>
      </x:c>
      <x:c r="B8" s="3" t="str">
        <x:v>generator</x:v>
      </x:c>
      <x:c r="C8" s="3" t="str">
        <x:v>CO2</x:v>
      </x:c>
      <x:c r="D8" s="18" t="n">
        <x:f>IF(COUNT('04 Activity'!D17:D28)&lt;&gt;12,"MISSING",SUM('04 Activity'!D17:D28))</x:f>
        <x:v>558</x:v>
      </x:c>
      <x:c r="E8" s="3" t="str">
        <x:v>liter</x:v>
      </x:c>
      <x:c r="F8" s="11" t="n">
        <x:v>36</x:v>
      </x:c>
      <x:c r="G8" s="11" t="n">
        <x:v>74100</x:v>
      </x:c>
      <x:c r="H8" s="3" t="str">
        <x:v>kg-gas/TJ</x:v>
      </x:c>
      <x:c r="I8" s="3" t="str">
        <x:v>official-factors</x:v>
      </x:c>
      <x:c r="J8" s="11" t="n">
        <x:v>1</x:v>
      </x:c>
      <x:c r="K8" s="3" t="str">
        <x:v>MOENV-113-AR5-100y</x:v>
      </x:c>
      <x:c r="L8" s="18" t="n">
        <x:f>IF(ISNUMBER(D8),D8*G8*F8/1000000,"MISSING")</x:f>
        <x:v>1488.5208</x:v>
      </x:c>
      <x:c r="M8" s="18" t="n">
        <x:f>IF(ISNUMBER(D8),L8*J8,"MISSING")</x:f>
        <x:v>1488.5208</x:v>
      </x:c>
      <x:c r="N8" s="3" t="str">
        <x:v>True</x:v>
      </x:c>
    </x:row>
    <x:row r="9" ht="72" customHeight="1">
      <x:c r="A9" s="10" t="n">
        <x:v>2023</x:v>
      </x:c>
      <x:c r="B9" s="3" t="str">
        <x:v>generator</x:v>
      </x:c>
      <x:c r="C9" s="3" t="str">
        <x:v>CH4</x:v>
      </x:c>
      <x:c r="D9" s="18" t="n">
        <x:f>IF(COUNT('04 Activity'!D17:D28)&lt;&gt;12,"MISSING",SUM('04 Activity'!D17:D28))</x:f>
        <x:v>558</x:v>
      </x:c>
      <x:c r="E9" s="3" t="str">
        <x:v>liter</x:v>
      </x:c>
      <x:c r="F9" s="11" t="n">
        <x:v>36</x:v>
      </x:c>
      <x:c r="G9" s="11" t="n">
        <x:v>3</x:v>
      </x:c>
      <x:c r="H9" s="3" t="str">
        <x:v>kg-gas/TJ</x:v>
      </x:c>
      <x:c r="I9" s="3" t="str">
        <x:v>official-factors</x:v>
      </x:c>
      <x:c r="J9" s="11" t="n">
        <x:v>28</x:v>
      </x:c>
      <x:c r="K9" s="3" t="str">
        <x:v>MOENV-113-AR5-100y</x:v>
      </x:c>
      <x:c r="L9" s="18" t="n">
        <x:f>IF(ISNUMBER(D9),D9*G9*F9/1000000,"MISSING")</x:f>
        <x:v>0.060264</x:v>
      </x:c>
      <x:c r="M9" s="18" t="n">
        <x:f>IF(ISNUMBER(D9),L9*J9,"MISSING")</x:f>
        <x:v>1.687392</x:v>
      </x:c>
      <x:c r="N9" s="3" t="str">
        <x:v>True</x:v>
      </x:c>
    </x:row>
    <x:row r="10" ht="72" customHeight="1">
      <x:c r="A10" s="10" t="n">
        <x:v>2023</x:v>
      </x:c>
      <x:c r="B10" s="3" t="str">
        <x:v>generator</x:v>
      </x:c>
      <x:c r="C10" s="3" t="str">
        <x:v>N2O</x:v>
      </x:c>
      <x:c r="D10" s="18" t="n">
        <x:f>IF(COUNT('04 Activity'!D17:D28)&lt;&gt;12,"MISSING",SUM('04 Activity'!D17:D28))</x:f>
        <x:v>558</x:v>
      </x:c>
      <x:c r="E10" s="3" t="str">
        <x:v>liter</x:v>
      </x:c>
      <x:c r="F10" s="11" t="n">
        <x:v>36</x:v>
      </x:c>
      <x:c r="G10" s="11" t="n">
        <x:v>0.6</x:v>
      </x:c>
      <x:c r="H10" s="3" t="str">
        <x:v>kg-gas/TJ</x:v>
      </x:c>
      <x:c r="I10" s="3" t="str">
        <x:v>official-factors</x:v>
      </x:c>
      <x:c r="J10" s="11" t="n">
        <x:v>265</x:v>
      </x:c>
      <x:c r="K10" s="3" t="str">
        <x:v>MOENV-113-AR5-100y</x:v>
      </x:c>
      <x:c r="L10" s="18" t="n">
        <x:f>IF(ISNUMBER(D10),D10*G10*F10/1000000,"MISSING")</x:f>
        <x:v>0.0120528</x:v>
      </x:c>
      <x:c r="M10" s="18" t="n">
        <x:f>IF(ISNUMBER(D10),L10*J10,"MISSING")</x:f>
        <x:v>3.193992</x:v>
      </x:c>
      <x:c r="N10" s="3" t="str">
        <x:v>True</x:v>
      </x:c>
    </x:row>
    <x:row r="11" ht="72" customHeight="1">
      <x:c r="A11" s="10" t="n">
        <x:v>2023</x:v>
      </x:c>
      <x:c r="B11" s="3" t="str">
        <x:v>cooling</x:v>
      </x:c>
      <x:c r="C11" s="3" t="str">
        <x:v>HFC-134a</x:v>
      </x:c>
      <x:c r="D11" s="18" t="n">
        <x:f>IF(COUNT('04 Activity'!D41:D52)&lt;&gt;12,"MISSING",SUM('04 Activity'!D41:D52))</x:f>
        <x:v>3</x:v>
      </x:c>
      <x:c r="E11" s="3" t="str">
        <x:v>kg</x:v>
      </x:c>
      <x:c r="F11" s="11" t="str">
        <x:v>not-applicable</x:v>
      </x:c>
      <x:c r="G11" s="11" t="n">
        <x:v>1</x:v>
      </x:c>
      <x:c r="H11" s="3" t="str">
        <x:v>kg-gas/kg-leaked</x:v>
      </x:c>
      <x:c r="I11" s="3" t="str">
        <x:v>official-factors</x:v>
      </x:c>
      <x:c r="J11" s="11" t="n">
        <x:v>1300</x:v>
      </x:c>
      <x:c r="K11" s="3" t="str">
        <x:v>MOENV-113-AR5-100y</x:v>
      </x:c>
      <x:c r="L11" s="18" t="n">
        <x:f>IF(ISNUMBER(D11),D11*G11,"MISSING")</x:f>
        <x:v>3</x:v>
      </x:c>
      <x:c r="M11" s="18" t="n">
        <x:f>IF(ISNUMBER(D11),L11*J11,"MISSING")</x:f>
        <x:v>3900</x:v>
      </x:c>
      <x:c r="N11" s="3" t="str">
        <x:v>True</x:v>
      </x:c>
    </x:row>
    <x:row r="12" ht="72" customHeight="1">
      <x:c r="A12" s="10" t="n">
        <x:v>2023</x:v>
      </x:c>
      <x:c r="B12" s="3" t="str">
        <x:v>electricity</x:v>
      </x:c>
      <x:c r="C12" s="3" t="str">
        <x:v>CO2e</x:v>
      </x:c>
      <x:c r="D12" s="18" t="n">
        <x:f>IF(COUNT('04 Activity'!D53:D64)&lt;&gt;12,"MISSING",SUM('04 Activity'!D53:D64))</x:f>
        <x:v>127800</x:v>
      </x:c>
      <x:c r="E12" s="3" t="str">
        <x:v>kWh</x:v>
      </x:c>
      <x:c r="F12" s="11" t="str">
        <x:v>not-applicable</x:v>
      </x:c>
      <x:c r="G12" s="11" t="n">
        <x:v>0.494</x:v>
      </x:c>
      <x:c r="H12" s="3" t="str">
        <x:v>kg-CO2e/kWh</x:v>
      </x:c>
      <x:c r="I12" s="3" t="str">
        <x:v>official-inventory-annex1</x:v>
      </x:c>
      <x:c r="J12" s="11" t="n">
        <x:v>1</x:v>
      </x:c>
      <x:c r="K12" s="3" t="str">
        <x:v>precharacterized-no-second-GWP</x:v>
      </x:c>
      <x:c r="L12" s="18" t="str">
        <x:f>"not-gas-resolved"</x:f>
        <x:v>not-gas-resolved</x:v>
      </x:c>
      <x:c r="M12" s="18" t="n">
        <x:f>IF(ISNUMBER(D12),D12*G12,"MISSING")</x:f>
        <x:v>63133.2</x:v>
      </x:c>
      <x:c r="N12" s="3" t="str">
        <x:v>True</x:v>
      </x:c>
    </x:row>
    <x:row r="22" ht="32" customHeight="1">
      <x:c r="A22" s="14" t="str">
        <x:v>參數來源｜historical training policy; not production defaults</x:v>
      </x:c>
      <x:c r="B22" s="14"/>
      <x:c r="C22" s="14"/>
      <x:c r="D22" s="14"/>
      <x:c r="E22" s="14"/>
      <x:c r="F22" s="14"/>
    </x:row>
    <x:row r="23" ht="28" customHeight="1">
      <x:c r="A23" s="3" t="str">
        <x:v>official-factors: 113年2月5日公告溫室氣體排放係數.ods | retrieved 2026-10-15 | https://ghgregistry.moenv.gov.tw/upload/Tools/AI/113%E5%B9%B42%E6%9C%885%E6%97%A5%E5%85%AC%E5%91%8A%E6%BA%AB%E5%AE%A4%E6%B0%A3%E9%AB%94%E6%8E%92%E6%94%BE%E4%BF%82%E6%95%B8.ods | SHA256 085fe962e158078e5b3383568b4eeeda0466373ae2d0f62f7870efa0a0dcd0b0</x:v>
      </x:c>
      <x:c r="B23" s="3"/>
      <x:c r="C23" s="3"/>
      <x:c r="D23" s="3"/>
      <x:c r="E23" s="3"/>
      <x:c r="F23" s="3"/>
    </x:row>
    <x:row r="24" ht="28" customHeight="1">
      <x:c r="A24" s="3"/>
      <x:c r="B24" s="3"/>
      <x:c r="C24" s="3"/>
      <x:c r="D24" s="3"/>
      <x:c r="E24" s="3"/>
      <x:c r="F24" s="3"/>
    </x:row>
    <x:row r="25" ht="28" customHeight="1">
      <x:c r="A25" s="3"/>
      <x:c r="B25" s="3"/>
      <x:c r="C25" s="3"/>
      <x:c r="D25" s="3"/>
      <x:c r="E25" s="3"/>
      <x:c r="F25" s="3"/>
    </x:row>
    <x:row r="26" ht="28" customHeight="1">
      <x:c r="A26" s="3" t="str">
        <x:v>official-inventory-annex1: 溫室氣體排放量清冊表單(範例).ods | retrieved 2026-10-15 | https://ghgregistry.moenv.gov.tw/upload/Tools/AI/%E6%BA%AB%E5%AE%A4%E6%B0%A3%E9%AB%94%E6%8E%92%E6%94%BE%E9%87%8F%E6%B8%85%E5%86%8A%E8%A1%A8%E5%96%AE%28%E7%AF%84%E4%BE%8B%29.ods | SHA256 5fd54c596bca2b5b533fe96f57078b9c1204dd0588fee258f6bcb494a6028e8c</x:v>
      </x:c>
      <x:c r="B26" s="3"/>
      <x:c r="C26" s="3"/>
      <x:c r="D26" s="3"/>
      <x:c r="E26" s="3"/>
      <x:c r="F26" s="3"/>
    </x:row>
    <x:row r="27" ht="28" customHeight="1">
      <x:c r="A27" s="3"/>
      <x:c r="B27" s="3"/>
      <x:c r="C27" s="3"/>
      <x:c r="D27" s="3"/>
      <x:c r="E27" s="3"/>
      <x:c r="F27" s="3"/>
    </x:row>
    <x:row r="28" ht="28" customHeight="1">
      <x:c r="A28" s="3"/>
      <x:c r="B28" s="3"/>
      <x:c r="C28" s="3"/>
      <x:c r="D28" s="3"/>
      <x:c r="E28" s="3"/>
      <x:c r="F28" s="3"/>
    </x:row>
    <x:row r="29" ht="28" customHeight="1">
      <x:c r="A29" s="17" t="str">
        <x:v>低位熱值38 MJ/m³／36 MJ/L為虛構假設，非官方值或檢測證明。電力係數為歷史版本回放；需依法另核最新適用版本。已CO2e化因子不得再乘GWP。</x:v>
      </x:c>
      <x:c r="B29" s="17"/>
      <x:c r="C29" s="17"/>
      <x:c r="D29" s="17"/>
      <x:c r="E29" s="17"/>
      <x:c r="F29" s="17"/>
    </x:row>
    <x:row r="30" ht="28" customHeight="1">
      <x:c r="A30" s="17"/>
      <x:c r="B30" s="17"/>
      <x:c r="C30" s="17"/>
      <x:c r="D30" s="17"/>
      <x:c r="E30" s="17"/>
      <x:c r="F30" s="17"/>
    </x:row>
    <x:row r="31" ht="28" customHeight="1">
      <x:c r="A31" s="17"/>
      <x:c r="B31" s="17"/>
      <x:c r="C31" s="17"/>
      <x:c r="D31" s="17"/>
      <x:c r="E31" s="17"/>
      <x:c r="F31" s="17"/>
    </x:row>
  </x:sheetData>
  <x:mergeCells>
    <x:mergeCell ref="A1:F1"/>
    <x:mergeCell ref="A2:F2"/>
    <x:mergeCell ref="A22:F22"/>
    <x:mergeCell ref="A23:F25"/>
    <x:mergeCell ref="A26:F28"/>
    <x:mergeCell ref="A29:F3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4" hidden="0" customWidth="1"/>
    <x:col min="2" max="2" width="30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40" customHeight="1">
      <x:c r="A1" s="5" t="str">
        <x:v>數據品質管理｜2023 年合成範例</x:v>
      </x:c>
      <x:c r="B1" s="5"/>
      <x:c r="C1" s="5"/>
      <x:c r="D1" s="5"/>
      <x:c r="E1" s="5"/>
      <x:c r="F1" s="5"/>
      <x:c r="G1" s="3"/>
      <x:c r="H1" s="3"/>
    </x:row>
    <x:row r="2" ht="34" customHeight="1">
      <x:c r="A2" s="7" t="str">
        <x:v>非官方申報檔；合成案例不是查驗意見。完整欄位說明及來源見 Repo README、FIELD_MAP、SOURCES。</x:v>
      </x:c>
      <x:c r="B2" s="7"/>
      <x:c r="C2" s="7"/>
      <x:c r="D2" s="7"/>
      <x:c r="E2" s="7"/>
      <x:c r="F2" s="7"/>
      <x:c r="G2" s="3"/>
      <x:c r="H2" s="3"/>
    </x:row>
    <x:row r="3" ht="72" customHeight="1">
      <x:c r="A3" s="3"/>
      <x:c r="B3" s="3"/>
      <x:c r="C3" s="3"/>
      <x:c r="D3" s="3"/>
      <x:c r="E3" s="3"/>
      <x:c r="F3" s="3"/>
      <x:c r="G3" s="3"/>
      <x:c r="H3" s="3"/>
    </x:row>
    <x:row r="4" ht="64" customHeight="1">
      <x:c r="A4" s="9" t="str">
        <x:v>年度 year</x:v>
      </x:c>
      <x:c r="B4" s="9" t="str">
        <x:v>排放源 ID</x:v>
      </x:c>
      <x:c r="C4" s="9" t="str">
        <x:v>activity_quality</x:v>
      </x:c>
      <x:c r="D4" s="9" t="str">
        <x:v>factor_quality</x:v>
      </x:c>
      <x:c r="E4" s="9" t="str">
        <x:v>calibration_evidence</x:v>
      </x:c>
      <x:c r="F4" s="9" t="str">
        <x:v>保存單位</x:v>
      </x:c>
      <x:c r="G4" s="9" t="str">
        <x:v>review_status</x:v>
      </x:c>
      <x:c r="H4" s="9" t="str">
        <x:v>limitation</x:v>
      </x:c>
    </x:row>
    <x:row r="5" ht="72" customHeight="1">
      <x:c r="A5" s="10" t="n">
        <x:v>2023</x:v>
      </x:c>
      <x:c r="B5" s="3" t="str">
        <x:v>boiler</x:v>
      </x:c>
      <x:c r="C5" s="3" t="str">
        <x:v>synthetic-not-rated</x:v>
      </x:c>
      <x:c r="D5" s="3" t="str">
        <x:v>official-values-plus-synthetic-LHV</x:v>
      </x:c>
      <x:c r="E5" s="3" t="str">
        <x:v>not-established</x:v>
      </x:c>
      <x:c r="F5" s="3" t="str">
        <x:v>simulated-facilities-team</x:v>
      </x:c>
      <x:c r="G5" s="3" t="str">
        <x:v>not-human-reviewed</x:v>
      </x:c>
      <x:c r="H5" s="3" t="str">
        <x:v>hashes prove consistency only, not source authenticity</x:v>
      </x:c>
    </x:row>
    <x:row r="6" ht="72" customHeight="1">
      <x:c r="A6" s="10" t="n">
        <x:v>2023</x:v>
      </x:c>
      <x:c r="B6" s="3" t="str">
        <x:v>generator</x:v>
      </x:c>
      <x:c r="C6" s="3" t="str">
        <x:v>synthetic-not-rated</x:v>
      </x:c>
      <x:c r="D6" s="3" t="str">
        <x:v>official-values-plus-synthetic-LHV</x:v>
      </x:c>
      <x:c r="E6" s="3" t="str">
        <x:v>not-established</x:v>
      </x:c>
      <x:c r="F6" s="3" t="str">
        <x:v>simulated-facilities-team</x:v>
      </x:c>
      <x:c r="G6" s="3" t="str">
        <x:v>not-human-reviewed</x:v>
      </x:c>
      <x:c r="H6" s="3" t="str">
        <x:v>hashes prove consistency only, not source authenticity</x:v>
      </x:c>
    </x:row>
    <x:row r="7" ht="72" customHeight="1">
      <x:c r="A7" s="10" t="n">
        <x:v>2023</x:v>
      </x:c>
      <x:c r="B7" s="3" t="str">
        <x:v>new-generator</x:v>
      </x:c>
      <x:c r="C7" s="3" t="str">
        <x:v>synthetic-not-rated</x:v>
      </x:c>
      <x:c r="D7" s="3" t="str">
        <x:v>official-values-plus-synthetic-LHV</x:v>
      </x:c>
      <x:c r="E7" s="3" t="str">
        <x:v>not-established</x:v>
      </x:c>
      <x:c r="F7" s="3" t="str">
        <x:v>simulated-facilities-team</x:v>
      </x:c>
      <x:c r="G7" s="3" t="str">
        <x:v>not-human-reviewed</x:v>
      </x:c>
      <x:c r="H7" s="3" t="str">
        <x:v>hashes prove consistency only, not source authenticity</x:v>
      </x:c>
    </x:row>
    <x:row r="8" ht="72" customHeight="1">
      <x:c r="A8" s="10" t="n">
        <x:v>2023</x:v>
      </x:c>
      <x:c r="B8" s="3" t="str">
        <x:v>cooling</x:v>
      </x:c>
      <x:c r="C8" s="3" t="str">
        <x:v>synthetic-not-rated</x:v>
      </x:c>
      <x:c r="D8" s="3" t="str">
        <x:v>official-values-plus-synthetic-LHV</x:v>
      </x:c>
      <x:c r="E8" s="3" t="str">
        <x:v>not-established</x:v>
      </x:c>
      <x:c r="F8" s="3" t="str">
        <x:v>simulated-facilities-team</x:v>
      </x:c>
      <x:c r="G8" s="3" t="str">
        <x:v>not-human-reviewed</x:v>
      </x:c>
      <x:c r="H8" s="3" t="str">
        <x:v>hashes prove consistency only, not source authenticity</x:v>
      </x:c>
    </x:row>
    <x:row r="9" ht="72" customHeight="1">
      <x:c r="A9" s="10" t="n">
        <x:v>2023</x:v>
      </x:c>
      <x:c r="B9" s="3" t="str">
        <x:v>electricity</x:v>
      </x:c>
      <x:c r="C9" s="3" t="str">
        <x:v>synthetic-not-rated</x:v>
      </x:c>
      <x:c r="D9" s="3" t="str">
        <x:v>official-values-plus-synthetic-LHV</x:v>
      </x:c>
      <x:c r="E9" s="3" t="str">
        <x:v>not-established</x:v>
      </x:c>
      <x:c r="F9" s="3" t="str">
        <x:v>simulated-facilities-team</x:v>
      </x:c>
      <x:c r="G9" s="3" t="str">
        <x:v>not-human-reviewed</x:v>
      </x:c>
      <x:c r="H9" s="3" t="str">
        <x:v>hashes prove consistency only, not source authenticity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4" hidden="0" customWidth="1"/>
    <x:col min="2" max="2" width="30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40" customHeight="1">
      <x:c r="A1" s="5" t="str">
        <x:v>不確定性評估｜2023 年合成範例</x:v>
      </x:c>
      <x:c r="B1" s="5"/>
      <x:c r="C1" s="5"/>
      <x:c r="D1" s="5"/>
      <x:c r="E1" s="5"/>
      <x:c r="F1" s="5"/>
      <x:c r="G1" s="3"/>
      <x:c r="H1" s="3"/>
      <x:c r="I1" s="3"/>
    </x:row>
    <x:row r="2" ht="34" customHeight="1">
      <x:c r="A2" s="7" t="str">
        <x:v>非官方申報檔；合成案例不是查驗意見。完整欄位說明及來源見 Repo README、FIELD_MAP、SOURCES。</x:v>
      </x:c>
      <x:c r="B2" s="7"/>
      <x:c r="C2" s="7"/>
      <x:c r="D2" s="7"/>
      <x:c r="E2" s="7"/>
      <x:c r="F2" s="7"/>
      <x:c r="G2" s="3"/>
      <x:c r="H2" s="3"/>
      <x:c r="I2" s="3"/>
    </x:row>
    <x:row r="3" ht="72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64" customHeight="1">
      <x:c r="A4" s="9" t="str">
        <x:v>年度 year</x:v>
      </x:c>
      <x:c r="B4" s="9" t="str">
        <x:v>排放源 ID</x:v>
      </x:c>
      <x:c r="C4" s="9" t="str">
        <x:v>activity_uncertainty_pct</x:v>
      </x:c>
      <x:c r="D4" s="9" t="str">
        <x:v>factor_uncertainty_pct</x:v>
      </x:c>
      <x:c r="E4" s="9" t="str">
        <x:v>confidence_level</x:v>
      </x:c>
      <x:c r="F4" s="9" t="str">
        <x:v>distribution</x:v>
      </x:c>
      <x:c r="G4" s="9" t="str">
        <x:v>correlation</x:v>
      </x:c>
      <x:c r="H4" s="9" t="str">
        <x:v>status</x:v>
      </x:c>
      <x:c r="I4" s="9" t="str">
        <x:v>reason</x:v>
      </x:c>
    </x:row>
    <x:row r="5" ht="72" customHeight="1">
      <x:c r="A5" s="10" t="n">
        <x:v>2023</x:v>
      </x:c>
      <x:c r="B5" s="3" t="str">
        <x:v>boiler</x:v>
      </x:c>
      <x:c r="C5" s="3" t="str"/>
      <x:c r="D5" s="3" t="str"/>
      <x:c r="E5" s="3" t="str"/>
      <x:c r="F5" s="3" t="str"/>
      <x:c r="G5" s="3" t="str">
        <x:v>unknown</x:v>
      </x:c>
      <x:c r="H5" s="3" t="str">
        <x:v>not-assessed</x:v>
      </x:c>
      <x:c r="I5" s="3" t="str">
        <x:v>no actual instrument calibration, distribution or confidence evidence; blank is not zero</x:v>
      </x:c>
    </x:row>
    <x:row r="6" ht="72" customHeight="1">
      <x:c r="A6" s="10" t="n">
        <x:v>2023</x:v>
      </x:c>
      <x:c r="B6" s="3" t="str">
        <x:v>generator</x:v>
      </x:c>
      <x:c r="C6" s="3" t="str"/>
      <x:c r="D6" s="3" t="str"/>
      <x:c r="E6" s="3" t="str"/>
      <x:c r="F6" s="3" t="str"/>
      <x:c r="G6" s="3" t="str">
        <x:v>unknown</x:v>
      </x:c>
      <x:c r="H6" s="3" t="str">
        <x:v>not-assessed</x:v>
      </x:c>
      <x:c r="I6" s="3" t="str">
        <x:v>no actual instrument calibration, distribution or confidence evidence; blank is not zero</x:v>
      </x:c>
    </x:row>
    <x:row r="7" ht="72" customHeight="1">
      <x:c r="A7" s="10" t="n">
        <x:v>2023</x:v>
      </x:c>
      <x:c r="B7" s="3" t="str">
        <x:v>new-generator</x:v>
      </x:c>
      <x:c r="C7" s="3" t="str"/>
      <x:c r="D7" s="3" t="str"/>
      <x:c r="E7" s="3" t="str"/>
      <x:c r="F7" s="3" t="str"/>
      <x:c r="G7" s="3" t="str">
        <x:v>unknown</x:v>
      </x:c>
      <x:c r="H7" s="3" t="str">
        <x:v>not-assessed</x:v>
      </x:c>
      <x:c r="I7" s="3" t="str">
        <x:v>no actual instrument calibration, distribution or confidence evidence; blank is not zero</x:v>
      </x:c>
    </x:row>
    <x:row r="8" ht="72" customHeight="1">
      <x:c r="A8" s="10" t="n">
        <x:v>2023</x:v>
      </x:c>
      <x:c r="B8" s="3" t="str">
        <x:v>cooling</x:v>
      </x:c>
      <x:c r="C8" s="3" t="str"/>
      <x:c r="D8" s="3" t="str"/>
      <x:c r="E8" s="3" t="str"/>
      <x:c r="F8" s="3" t="str"/>
      <x:c r="G8" s="3" t="str">
        <x:v>unknown</x:v>
      </x:c>
      <x:c r="H8" s="3" t="str">
        <x:v>not-assessed</x:v>
      </x:c>
      <x:c r="I8" s="3" t="str">
        <x:v>no actual instrument calibration, distribution or confidence evidence; blank is not zero</x:v>
      </x:c>
    </x:row>
    <x:row r="9" ht="72" customHeight="1">
      <x:c r="A9" s="10" t="n">
        <x:v>2023</x:v>
      </x:c>
      <x:c r="B9" s="3" t="str">
        <x:v>electricity</x:v>
      </x:c>
      <x:c r="C9" s="3" t="str"/>
      <x:c r="D9" s="3" t="str"/>
      <x:c r="E9" s="3" t="str"/>
      <x:c r="F9" s="3" t="str"/>
      <x:c r="G9" s="3" t="str">
        <x:v>unknown</x:v>
      </x:c>
      <x:c r="H9" s="3" t="str">
        <x:v>not-assessed</x:v>
      </x:c>
      <x:c r="I9" s="3" t="str">
        <x:v>no actual instrument calibration, distribution or confidence evidence; blank is not zero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40" customHeight="1">
      <x:c r="A1" s="5" t="str">
        <x:v>申報彙總欄位｜2023 年合成範例</x:v>
      </x:c>
      <x:c r="B1" s="5"/>
      <x:c r="C1" s="5"/>
      <x:c r="D1" s="5"/>
      <x:c r="E1" s="5"/>
      <x:c r="F1" s="5"/>
      <x:c r="G1" s="3"/>
    </x:row>
    <x:row r="2" ht="34" customHeight="1">
      <x:c r="A2" s="7" t="str">
        <x:v>非官方申報檔；合成案例不是查驗意見。完整欄位說明及來源見 Repo README、FIELD_MAP、SOURCES。</x:v>
      </x:c>
      <x:c r="B2" s="7"/>
      <x:c r="C2" s="7"/>
      <x:c r="D2" s="7"/>
      <x:c r="E2" s="7"/>
      <x:c r="F2" s="7"/>
      <x:c r="G2" s="3"/>
    </x:row>
    <x:row r="3" ht="72" customHeight="1">
      <x:c r="A3" s="3"/>
      <x:c r="B3" s="3"/>
      <x:c r="C3" s="3"/>
      <x:c r="D3" s="3"/>
      <x:c r="E3" s="3"/>
      <x:c r="F3" s="3"/>
      <x:c r="G3" s="3"/>
    </x:row>
    <x:row r="4" ht="64" customHeight="1">
      <x:c r="A4" s="9" t="str">
        <x:v>年度 year</x:v>
      </x:c>
      <x:c r="B4" s="9" t="str">
        <x:v>direct_kg_co2e</x:v>
      </x:c>
      <x:c r="C4" s="9" t="str">
        <x:v>energy_indirect_kg_co2e</x:v>
      </x:c>
      <x:c r="D4" s="9" t="str">
        <x:v>total_kg_co2e</x:v>
      </x:c>
      <x:c r="E4" s="9" t="str">
        <x:v>total_t_co2e</x:v>
      </x:c>
      <x:c r="F4" s="9" t="str">
        <x:v>boundary</x:v>
      </x:c>
      <x:c r="G4" s="9" t="str">
        <x:v>status</x:v>
      </x:c>
    </x:row>
    <x:row r="5" ht="72" customHeight="1">
      <x:c r="A5" s="10" t="n">
        <x:v>2023</x:v>
      </x:c>
      <x:c r="B5" s="11" t="n">
        <x:f>Overview!B6</x:f>
        <x:v>32664.273564000003</x:v>
      </x:c>
      <x:c r="C5" s="11" t="n">
        <x:f>Overview!B7</x:f>
        <x:v>63133.2</x:v>
      </x:c>
      <x:c r="D5" s="11" t="n">
        <x:f>Overview!B8</x:f>
        <x:v>95797.473564</x:v>
      </x:c>
      <x:c r="E5" s="11" t="n">
        <x:f>Overview!B9</x:f>
        <x:v>95.797473564</x:v>
      </x:c>
      <x:c r="F5" s="3" t="str">
        <x:v>demo-plant; direct + purchased energy</x:v>
      </x:c>
      <x:c r="G5" s="3" t="str">
        <x:v>synthetic-not-assured</x:v>
      </x:c>
    </x:row>
    <x:row r="6" ht="72" customHeight="1">
      <x:c r="A6" s="3"/>
      <x:c r="B6" s="3"/>
      <x:c r="C6" s="3"/>
      <x:c r="D6" s="3"/>
      <x:c r="E6" s="3"/>
      <x:c r="F6" s="3"/>
      <x:c r="G6" s="3"/>
    </x:row>
  </x:sheetData>
  <x:mergeCells>
    <x:mergeCell ref="A1:F1"/>
    <x:mergeCell ref="A2:F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30" hidden="0" customWidth="1"/>
    <x:col min="9" max="9" width="24" hidden="0" customWidth="1"/>
  </x:cols>
  <x:sheetData>
    <x:row r="1" ht="40" customHeight="1">
      <x:c r="A1" s="5" t="str">
        <x:v>電力與蒸汽供需｜2023 年合成範例</x:v>
      </x:c>
      <x:c r="B1" s="5"/>
      <x:c r="C1" s="5"/>
      <x:c r="D1" s="5"/>
      <x:c r="E1" s="5"/>
      <x:c r="F1" s="5"/>
      <x:c r="G1" s="3"/>
      <x:c r="H1" s="3"/>
      <x:c r="I1" s="3"/>
    </x:row>
    <x:row r="2" ht="34" customHeight="1">
      <x:c r="A2" s="7" t="str">
        <x:v>非官方申報檔；合成案例不是查驗意見。完整欄位說明及來源見 Repo README、FIELD_MAP、SOURCES。</x:v>
      </x:c>
      <x:c r="B2" s="7"/>
      <x:c r="C2" s="7"/>
      <x:c r="D2" s="7"/>
      <x:c r="E2" s="7"/>
      <x:c r="F2" s="7"/>
      <x:c r="G2" s="3"/>
      <x:c r="H2" s="3"/>
      <x:c r="I2" s="3"/>
    </x:row>
    <x:row r="3" ht="72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64" customHeight="1">
      <x:c r="A4" s="9" t="str">
        <x:v>年度 year</x:v>
      </x:c>
      <x:c r="B4" s="9" t="str">
        <x:v>purchased_kwh</x:v>
      </x:c>
      <x:c r="C4" s="9" t="str">
        <x:v>self_generated_kwh</x:v>
      </x:c>
      <x:c r="D4" s="9" t="str">
        <x:v>sold_kwh</x:v>
      </x:c>
      <x:c r="E4" s="9" t="str">
        <x:v>purchased_steam_t</x:v>
      </x:c>
      <x:c r="F4" s="9" t="str">
        <x:v>generated_steam_t</x:v>
      </x:c>
      <x:c r="G4" s="9" t="str">
        <x:v>sold_steam_t</x:v>
      </x:c>
      <x:c r="H4" s="9" t="str">
        <x:v>憑證 ID</x:v>
      </x:c>
      <x:c r="I4" s="9" t="str">
        <x:v>note</x:v>
      </x:c>
    </x:row>
    <x:row r="5" ht="72" customHeight="1">
      <x:c r="A5" s="10" t="n">
        <x:v>2023</x:v>
      </x:c>
      <x:c r="B5" s="11" t="n">
        <x:v>127800</x:v>
      </x:c>
      <x:c r="C5" s="11" t="n">
        <x:v>1200</x:v>
      </x:c>
      <x:c r="D5" s="11" t="n">
        <x:v>0</x:v>
      </x:c>
      <x:c r="E5" s="11" t="n">
        <x:v>0</x:v>
      </x:c>
      <x:c r="F5" s="11" t="n">
        <x:v>0</x:v>
      </x:c>
      <x:c r="G5" s="11" t="n">
        <x:v>0</x:v>
      </x:c>
      <x:c r="H5" s="3" t="str">
        <x:v>scenario</x:v>
      </x:c>
      <x:c r="I5" s="3" t="str">
        <x:v>synthetic generator electricity used onsite; do not add it again as purchased electricity; boiler produces hot water, not steam</x:v>
      </x:c>
    </x:row>
    <x:row r="6" ht="72" customHeight="1">
      <x:c r="A6" s="3"/>
      <x:c r="B6" s="3"/>
      <x:c r="C6" s="3"/>
      <x:c r="D6" s="3"/>
      <x:c r="E6" s="3"/>
      <x:c r="F6" s="3"/>
      <x:c r="G6" s="3"/>
      <x:c r="H6" s="3"/>
      <x:c r="I6" s="3"/>
    </x:row>
  </x:sheetData>
  <x:mergeCells>
    <x:mergeCell ref="A1:F1"/>
    <x:mergeCell ref="A2:F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30" hidden="0" customWidth="1"/>
  </x:cols>
  <x:sheetData>
    <x:row r="1" ht="40" customHeight="1">
      <x:c r="A1" s="5" t="str">
        <x:v>產量與產製期程｜2023 年合成範例</x:v>
      </x:c>
      <x:c r="B1" s="5"/>
      <x:c r="C1" s="5"/>
      <x:c r="D1" s="5"/>
      <x:c r="E1" s="5"/>
      <x:c r="F1" s="5"/>
      <x:c r="G1" s="3"/>
      <x:c r="H1" s="3"/>
    </x:row>
    <x:row r="2" ht="34" customHeight="1">
      <x:c r="A2" s="7" t="str">
        <x:v>非官方申報檔；合成案例不是查驗意見。完整欄位說明及來源見 Repo README、FIELD_MAP、SOURCES。</x:v>
      </x:c>
      <x:c r="B2" s="7"/>
      <x:c r="C2" s="7"/>
      <x:c r="D2" s="7"/>
      <x:c r="E2" s="7"/>
      <x:c r="F2" s="7"/>
      <x:c r="G2" s="3"/>
      <x:c r="H2" s="3"/>
    </x:row>
    <x:row r="3" ht="72" customHeight="1">
      <x:c r="A3" s="3"/>
      <x:c r="B3" s="3"/>
      <x:c r="C3" s="3"/>
      <x:c r="D3" s="3"/>
      <x:c r="E3" s="3"/>
      <x:c r="F3" s="3"/>
      <x:c r="G3" s="3"/>
      <x:c r="H3" s="3"/>
    </x:row>
    <x:row r="4" ht="64" customHeight="1">
      <x:c r="A4" s="9" t="str">
        <x:v>年度 year</x:v>
      </x:c>
      <x:c r="B4" s="9" t="str">
        <x:v>process_id</x:v>
      </x:c>
      <x:c r="C4" s="9" t="str">
        <x:v>product</x:v>
      </x:c>
      <x:c r="D4" s="9" t="str">
        <x:v>production</x:v>
      </x:c>
      <x:c r="E4" s="9" t="str">
        <x:v>單位 unit</x:v>
      </x:c>
      <x:c r="F4" s="9" t="str">
        <x:v>operating_days</x:v>
      </x:c>
      <x:c r="G4" s="9" t="str">
        <x:v>hours_per_day</x:v>
      </x:c>
      <x:c r="H4" s="9" t="str">
        <x:v>憑證 ID</x:v>
      </x:c>
    </x:row>
    <x:row r="5" ht="72" customHeight="1">
      <x:c r="A5" s="10" t="n">
        <x:v>2023</x:v>
      </x:c>
      <x:c r="B5" s="3" t="str">
        <x:v>demo-production</x:v>
      </x:c>
      <x:c r="C5" s="3" t="str">
        <x:v>fictional metal components</x:v>
      </x:c>
      <x:c r="D5" s="11" t="n">
        <x:v>12000</x:v>
      </x:c>
      <x:c r="E5" s="3" t="str">
        <x:v>pieces</x:v>
      </x:c>
      <x:c r="F5" s="10" t="n">
        <x:v>250</x:v>
      </x:c>
      <x:c r="G5" s="11" t="n">
        <x:v>8</x:v>
      </x:c>
      <x:c r="H5" s="3" t="str">
        <x:v>scenario</x:v>
      </x:c>
    </x:row>
    <x:row r="6" ht="72" customHeight="1">
      <x:c r="A6" s="3"/>
      <x:c r="B6" s="3"/>
      <x:c r="C6" s="3"/>
      <x:c r="D6" s="3"/>
      <x:c r="E6" s="3"/>
      <x:c r="F6" s="3"/>
      <x:c r="G6" s="3"/>
      <x:c r="H6" s="3"/>
    </x:row>
  </x:sheetData>
  <x:mergeCells>
    <x:mergeCell ref="A1:F1"/>
    <x:mergeCell ref="A2:F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4" hidden="0" customWidth="1"/>
    <x:col min="2" max="2" width="30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30" hidden="0" customWidth="1"/>
    <x:col min="11" max="11" width="24" hidden="0" customWidth="1"/>
  </x:cols>
  <x:sheetData>
    <x:row r="1" ht="40" customHeight="1">
      <x:c r="A1" s="5" t="str">
        <x:v>檢測方法與日期｜2023 年合成範例</x:v>
      </x:c>
      <x:c r="B1" s="5"/>
      <x:c r="C1" s="5"/>
      <x:c r="D1" s="5"/>
      <x:c r="E1" s="5"/>
      <x:c r="F1" s="5"/>
      <x:c r="G1" s="3"/>
      <x:c r="H1" s="3"/>
      <x:c r="I1" s="3"/>
      <x:c r="J1" s="3"/>
      <x:c r="K1" s="3"/>
    </x:row>
    <x:row r="2" ht="34" customHeight="1">
      <x:c r="A2" s="7" t="str">
        <x:v>非官方申報檔；合成案例不是查驗意見。完整欄位說明及來源見 Repo README、FIELD_MAP、SOURCES。</x:v>
      </x:c>
      <x:c r="B2" s="7"/>
      <x:c r="C2" s="7"/>
      <x:c r="D2" s="7"/>
      <x:c r="E2" s="7"/>
      <x:c r="F2" s="7"/>
      <x:c r="G2" s="3"/>
      <x:c r="H2" s="3"/>
      <x:c r="I2" s="3"/>
      <x:c r="J2" s="3"/>
      <x:c r="K2" s="3"/>
    </x:row>
    <x:row r="3" ht="72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64" customHeight="1">
      <x:c r="A4" s="9" t="str">
        <x:v>年度 year</x:v>
      </x:c>
      <x:c r="B4" s="9" t="str">
        <x:v>排放源 ID</x:v>
      </x:c>
      <x:c r="C4" s="9" t="str">
        <x:v>parameter</x:v>
      </x:c>
      <x:c r="D4" s="9" t="str">
        <x:v>value</x:v>
      </x:c>
      <x:c r="E4" s="9" t="str">
        <x:v>單位 unit</x:v>
      </x:c>
      <x:c r="F4" s="9" t="str">
        <x:v>test_method</x:v>
      </x:c>
      <x:c r="G4" s="9" t="str">
        <x:v>test_date</x:v>
      </x:c>
      <x:c r="H4" s="9" t="str">
        <x:v>laboratory</x:v>
      </x:c>
      <x:c r="I4" s="9" t="str">
        <x:v>qualification</x:v>
      </x:c>
      <x:c r="J4" s="9" t="str">
        <x:v>憑證 ID</x:v>
      </x:c>
      <x:c r="K4" s="9" t="str">
        <x:v>status</x:v>
      </x:c>
    </x:row>
    <x:row r="5" ht="72" customHeight="1">
      <x:c r="A5" s="10" t="n">
        <x:v>2023</x:v>
      </x:c>
      <x:c r="B5" s="3" t="str">
        <x:v>boiler</x:v>
      </x:c>
      <x:c r="C5" s="3" t="str">
        <x:v>lower-heating-value</x:v>
      </x:c>
      <x:c r="D5" s="3" t="str">
        <x:v>38</x:v>
      </x:c>
      <x:c r="E5" s="3" t="str">
        <x:v>MJ/activity-unit</x:v>
      </x:c>
      <x:c r="F5" s="3" t="str">
        <x:v>synthetic-assumption-not-laboratory</x:v>
      </x:c>
      <x:c r="G5" s="3" t="str">
        <x:v>not-performed</x:v>
      </x:c>
      <x:c r="H5" s="3" t="str">
        <x:v>none</x:v>
      </x:c>
      <x:c r="I5" s="3" t="str">
        <x:v>not-established</x:v>
      </x:c>
      <x:c r="J5" s="3" t="str">
        <x:v>scenario</x:v>
      </x:c>
      <x:c r="K5" s="3" t="str">
        <x:v>synthetic-not-measured</x:v>
      </x:c>
    </x:row>
    <x:row r="6" ht="72" customHeight="1">
      <x:c r="A6" s="10" t="n">
        <x:v>2023</x:v>
      </x:c>
      <x:c r="B6" s="3" t="str">
        <x:v>generator</x:v>
      </x:c>
      <x:c r="C6" s="3" t="str">
        <x:v>lower-heating-value</x:v>
      </x:c>
      <x:c r="D6" s="3" t="str">
        <x:v>36</x:v>
      </x:c>
      <x:c r="E6" s="3" t="str">
        <x:v>MJ/activity-unit</x:v>
      </x:c>
      <x:c r="F6" s="3" t="str">
        <x:v>synthetic-assumption-not-laboratory</x:v>
      </x:c>
      <x:c r="G6" s="3" t="str">
        <x:v>not-performed</x:v>
      </x:c>
      <x:c r="H6" s="3" t="str">
        <x:v>none</x:v>
      </x:c>
      <x:c r="I6" s="3" t="str">
        <x:v>not-established</x:v>
      </x:c>
      <x:c r="J6" s="3" t="str">
        <x:v>scenario</x:v>
      </x:c>
      <x:c r="K6" s="3" t="str">
        <x:v>synthetic-not-measured</x:v>
      </x:c>
    </x:row>
    <x:row r="7" ht="72" customHeight="1">
      <x:c r="A7" s="10" t="n">
        <x:v>2023</x:v>
      </x:c>
      <x:c r="B7" s="3" t="str">
        <x:v>new-generator</x:v>
      </x:c>
      <x:c r="C7" s="3" t="str">
        <x:v>lower-heating-value</x:v>
      </x:c>
      <x:c r="D7" s="3" t="str">
        <x:v>36</x:v>
      </x:c>
      <x:c r="E7" s="3" t="str">
        <x:v>MJ/activity-unit</x:v>
      </x:c>
      <x:c r="F7" s="3" t="str">
        <x:v>synthetic-assumption-not-laboratory</x:v>
      </x:c>
      <x:c r="G7" s="3" t="str">
        <x:v>not-performed</x:v>
      </x:c>
      <x:c r="H7" s="3" t="str">
        <x:v>none</x:v>
      </x:c>
      <x:c r="I7" s="3" t="str">
        <x:v>not-established</x:v>
      </x:c>
      <x:c r="J7" s="3" t="str">
        <x:v>scenario</x:v>
      </x:c>
      <x:c r="K7" s="3" t="str">
        <x:v>synthetic-not-measured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30" hidden="0" customWidth="1"/>
    <x:col min="2" max="2" width="24" hidden="0" customWidth="1"/>
    <x:col min="3" max="3" width="30" hidden="0" customWidth="1"/>
    <x:col min="4" max="4" width="24" hidden="0" customWidth="1"/>
    <x:col min="5" max="5" width="24" hidden="0" customWidth="1"/>
    <x:col min="6" max="6" width="30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40" customHeight="1">
      <x:c r="A1" s="5" t="str">
        <x:v>內部憑證索引｜2023 年合成範例</x:v>
      </x:c>
      <x:c r="B1" s="5"/>
      <x:c r="C1" s="5"/>
      <x:c r="D1" s="5"/>
      <x:c r="E1" s="5"/>
      <x:c r="F1" s="5"/>
      <x:c r="G1" s="3"/>
      <x:c r="H1" s="3"/>
      <x:c r="I1" s="3"/>
    </x:row>
    <x:row r="2" ht="34" customHeight="1">
      <x:c r="A2" s="7" t="str">
        <x:v>非官方申報檔；合成案例不是查驗意見。完整欄位說明及來源見 Repo README、FIELD_MAP、SOURCES。</x:v>
      </x:c>
      <x:c r="B2" s="7"/>
      <x:c r="C2" s="7"/>
      <x:c r="D2" s="7"/>
      <x:c r="E2" s="7"/>
      <x:c r="F2" s="7"/>
      <x:c r="G2" s="3"/>
      <x:c r="H2" s="3"/>
      <x:c r="I2" s="3"/>
    </x:row>
    <x:row r="3" ht="72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64" customHeight="1">
      <x:c r="A4" s="9" t="str">
        <x:v>憑證 ID</x:v>
      </x:c>
      <x:c r="B4" s="9" t="str">
        <x:v>path</x:v>
      </x:c>
      <x:c r="C4" s="9" t="str">
        <x:v>sha256</x:v>
      </x:c>
      <x:c r="D4" s="9" t="str">
        <x:v>年度 year</x:v>
      </x:c>
      <x:c r="E4" s="9" t="str">
        <x:v>月份 month</x:v>
      </x:c>
      <x:c r="F4" s="9" t="str">
        <x:v>排放源 ID</x:v>
      </x:c>
      <x:c r="G4" s="9" t="str">
        <x:v>保存單位</x:v>
      </x:c>
      <x:c r="H4" s="9" t="str">
        <x:v>是否合成資料</x:v>
      </x:c>
      <x:c r="I4" s="9" t="str">
        <x:v>license</x:v>
      </x:c>
    </x:row>
    <x:row r="5" ht="72" customHeight="1">
      <x:c r="A5" s="3" t="str">
        <x:v>2023-boiler-01</x:v>
      </x:c>
      <x:c r="B5" s="3" t="str">
        <x:v>evidence/2023-boiler-01.json</x:v>
      </x:c>
      <x:c r="C5" s="3" t="str">
        <x:v>d7e1ca216924764d999fd45840bce2dce489575da81028451eca0d728c51d8a2</x:v>
      </x:c>
      <x:c r="D5" s="10" t="n">
        <x:v>2023</x:v>
      </x:c>
      <x:c r="E5" s="10" t="n">
        <x:v>1</x:v>
      </x:c>
      <x:c r="F5" s="3" t="str">
        <x:v>boiler</x:v>
      </x:c>
      <x:c r="G5" s="3" t="str">
        <x:v>simulated-facilities-team</x:v>
      </x:c>
      <x:c r="H5" s="3" t="str">
        <x:v>True</x:v>
      </x:c>
      <x:c r="I5" s="3" t="str">
        <x:v>MIT</x:v>
      </x:c>
    </x:row>
    <x:row r="6" ht="72" customHeight="1">
      <x:c r="A6" s="3" t="str">
        <x:v>2023-boiler-02</x:v>
      </x:c>
      <x:c r="B6" s="3" t="str">
        <x:v>evidence/2023-boiler-02.json</x:v>
      </x:c>
      <x:c r="C6" s="3" t="str">
        <x:v>b4d92c87044d310ec6f10fad2231800d7a984d9b82057b1e676596a453515abe</x:v>
      </x:c>
      <x:c r="D6" s="10" t="n">
        <x:v>2023</x:v>
      </x:c>
      <x:c r="E6" s="10" t="n">
        <x:v>2</x:v>
      </x:c>
      <x:c r="F6" s="3" t="str">
        <x:v>boiler</x:v>
      </x:c>
      <x:c r="G6" s="3" t="str">
        <x:v>simulated-facilities-team</x:v>
      </x:c>
      <x:c r="H6" s="3" t="str">
        <x:v>True</x:v>
      </x:c>
      <x:c r="I6" s="3" t="str">
        <x:v>MIT</x:v>
      </x:c>
    </x:row>
    <x:row r="7" ht="72" customHeight="1">
      <x:c r="A7" s="3" t="str">
        <x:v>2023-boiler-03</x:v>
      </x:c>
      <x:c r="B7" s="3" t="str">
        <x:v>evidence/2023-boiler-03.json</x:v>
      </x:c>
      <x:c r="C7" s="3" t="str">
        <x:v>724a433e1324ced4d36ac811dd04e701210ddae4f48ef76e120e0753ea5a6983</x:v>
      </x:c>
      <x:c r="D7" s="10" t="n">
        <x:v>2023</x:v>
      </x:c>
      <x:c r="E7" s="10" t="n">
        <x:v>3</x:v>
      </x:c>
      <x:c r="F7" s="3" t="str">
        <x:v>boiler</x:v>
      </x:c>
      <x:c r="G7" s="3" t="str">
        <x:v>simulated-facilities-team</x:v>
      </x:c>
      <x:c r="H7" s="3" t="str">
        <x:v>True</x:v>
      </x:c>
      <x:c r="I7" s="3" t="str">
        <x:v>MIT</x:v>
      </x:c>
    </x:row>
    <x:row r="8" ht="72" customHeight="1">
      <x:c r="A8" s="3" t="str">
        <x:v>2023-boiler-04</x:v>
      </x:c>
      <x:c r="B8" s="3" t="str">
        <x:v>evidence/2023-boiler-04.json</x:v>
      </x:c>
      <x:c r="C8" s="3" t="str">
        <x:v>e8201c5f2ad42d2f7f0244b4118dbd2e688bd270c97501e0dfab03c42029419e</x:v>
      </x:c>
      <x:c r="D8" s="10" t="n">
        <x:v>2023</x:v>
      </x:c>
      <x:c r="E8" s="10" t="n">
        <x:v>4</x:v>
      </x:c>
      <x:c r="F8" s="3" t="str">
        <x:v>boiler</x:v>
      </x:c>
      <x:c r="G8" s="3" t="str">
        <x:v>simulated-facilities-team</x:v>
      </x:c>
      <x:c r="H8" s="3" t="str">
        <x:v>True</x:v>
      </x:c>
      <x:c r="I8" s="3" t="str">
        <x:v>MIT</x:v>
      </x:c>
    </x:row>
    <x:row r="9" ht="72" customHeight="1">
      <x:c r="A9" s="3" t="str">
        <x:v>2023-boiler-05</x:v>
      </x:c>
      <x:c r="B9" s="3" t="str">
        <x:v>evidence/2023-boiler-05.json</x:v>
      </x:c>
      <x:c r="C9" s="3" t="str">
        <x:v>8d0e4afcbd60ee33cab37ecd3492e8be75204d9774ccf334445ccdafc6e37073</x:v>
      </x:c>
      <x:c r="D9" s="10" t="n">
        <x:v>2023</x:v>
      </x:c>
      <x:c r="E9" s="10" t="n">
        <x:v>5</x:v>
      </x:c>
      <x:c r="F9" s="3" t="str">
        <x:v>boiler</x:v>
      </x:c>
      <x:c r="G9" s="3" t="str">
        <x:v>simulated-facilities-team</x:v>
      </x:c>
      <x:c r="H9" s="3" t="str">
        <x:v>True</x:v>
      </x:c>
      <x:c r="I9" s="3" t="str">
        <x:v>MIT</x:v>
      </x:c>
    </x:row>
    <x:row r="10" ht="72" customHeight="1">
      <x:c r="A10" s="3" t="str">
        <x:v>2023-boiler-06</x:v>
      </x:c>
      <x:c r="B10" s="3" t="str">
        <x:v>evidence/2023-boiler-06.json</x:v>
      </x:c>
      <x:c r="C10" s="3" t="str">
        <x:v>51214c9cf4ddc617416ba94bf69795c45c1136a196c885d6e7348722be984969</x:v>
      </x:c>
      <x:c r="D10" s="10" t="n">
        <x:v>2023</x:v>
      </x:c>
      <x:c r="E10" s="10" t="n">
        <x:v>6</x:v>
      </x:c>
      <x:c r="F10" s="3" t="str">
        <x:v>boiler</x:v>
      </x:c>
      <x:c r="G10" s="3" t="str">
        <x:v>simulated-facilities-team</x:v>
      </x:c>
      <x:c r="H10" s="3" t="str">
        <x:v>True</x:v>
      </x:c>
      <x:c r="I10" s="3" t="str">
        <x:v>MIT</x:v>
      </x:c>
    </x:row>
    <x:row r="11" ht="72" customHeight="1">
      <x:c r="A11" s="3" t="str">
        <x:v>2023-boiler-07</x:v>
      </x:c>
      <x:c r="B11" s="3" t="str">
        <x:v>evidence/2023-boiler-07.json</x:v>
      </x:c>
      <x:c r="C11" s="3" t="str">
        <x:v>19a037cd17afbef36cb9a6eb9638c4bb87614f4ab13381b805edee8ba95272f4</x:v>
      </x:c>
      <x:c r="D11" s="10" t="n">
        <x:v>2023</x:v>
      </x:c>
      <x:c r="E11" s="10" t="n">
        <x:v>7</x:v>
      </x:c>
      <x:c r="F11" s="3" t="str">
        <x:v>boiler</x:v>
      </x:c>
      <x:c r="G11" s="3" t="str">
        <x:v>simulated-facilities-team</x:v>
      </x:c>
      <x:c r="H11" s="3" t="str">
        <x:v>True</x:v>
      </x:c>
      <x:c r="I11" s="3" t="str">
        <x:v>MIT</x:v>
      </x:c>
    </x:row>
    <x:row r="12" ht="72" customHeight="1">
      <x:c r="A12" s="3" t="str">
        <x:v>2023-boiler-08</x:v>
      </x:c>
      <x:c r="B12" s="3" t="str">
        <x:v>evidence/2023-boiler-08.json</x:v>
      </x:c>
      <x:c r="C12" s="3" t="str">
        <x:v>640480ad23f678cb168981f217f72e0b58dfc19d52c1187de4ddb53051679f17</x:v>
      </x:c>
      <x:c r="D12" s="10" t="n">
        <x:v>2023</x:v>
      </x:c>
      <x:c r="E12" s="10" t="n">
        <x:v>8</x:v>
      </x:c>
      <x:c r="F12" s="3" t="str">
        <x:v>boiler</x:v>
      </x:c>
      <x:c r="G12" s="3" t="str">
        <x:v>simulated-facilities-team</x:v>
      </x:c>
      <x:c r="H12" s="3" t="str">
        <x:v>True</x:v>
      </x:c>
      <x:c r="I12" s="3" t="str">
        <x:v>MIT</x:v>
      </x:c>
    </x:row>
    <x:row r="13" ht="72" customHeight="1">
      <x:c r="A13" s="3" t="str">
        <x:v>2023-boiler-09</x:v>
      </x:c>
      <x:c r="B13" s="3" t="str">
        <x:v>evidence/2023-boiler-09.json</x:v>
      </x:c>
      <x:c r="C13" s="3" t="str">
        <x:v>a02840204be7867345444d4fd8969dbbd56d0ba38c095de2c0662b2c543467eb</x:v>
      </x:c>
      <x:c r="D13" s="10" t="n">
        <x:v>2023</x:v>
      </x:c>
      <x:c r="E13" s="10" t="n">
        <x:v>9</x:v>
      </x:c>
      <x:c r="F13" s="3" t="str">
        <x:v>boiler</x:v>
      </x:c>
      <x:c r="G13" s="3" t="str">
        <x:v>simulated-facilities-team</x:v>
      </x:c>
      <x:c r="H13" s="3" t="str">
        <x:v>True</x:v>
      </x:c>
      <x:c r="I13" s="3" t="str">
        <x:v>MIT</x:v>
      </x:c>
    </x:row>
    <x:row r="14" ht="72" customHeight="1">
      <x:c r="A14" s="3" t="str">
        <x:v>2023-boiler-10</x:v>
      </x:c>
      <x:c r="B14" s="3" t="str">
        <x:v>evidence/2023-boiler-10.json</x:v>
      </x:c>
      <x:c r="C14" s="3" t="str">
        <x:v>6f8d1008388c00ba32e578a11a62a1c85a90ff50fc27fd13d4ecd02e4cba29b2</x:v>
      </x:c>
      <x:c r="D14" s="10" t="n">
        <x:v>2023</x:v>
      </x:c>
      <x:c r="E14" s="10" t="n">
        <x:v>10</x:v>
      </x:c>
      <x:c r="F14" s="3" t="str">
        <x:v>boiler</x:v>
      </x:c>
      <x:c r="G14" s="3" t="str">
        <x:v>simulated-facilities-team</x:v>
      </x:c>
      <x:c r="H14" s="3" t="str">
        <x:v>True</x:v>
      </x:c>
      <x:c r="I14" s="3" t="str">
        <x:v>MIT</x:v>
      </x:c>
    </x:row>
    <x:row r="15" ht="72" customHeight="1">
      <x:c r="A15" s="3" t="str">
        <x:v>2023-boiler-11</x:v>
      </x:c>
      <x:c r="B15" s="3" t="str">
        <x:v>evidence/2023-boiler-11.json</x:v>
      </x:c>
      <x:c r="C15" s="3" t="str">
        <x:v>6f9b178168d1fb138300f369e06596981c14969beb7b26a8182f30e4fbe85123</x:v>
      </x:c>
      <x:c r="D15" s="10" t="n">
        <x:v>2023</x:v>
      </x:c>
      <x:c r="E15" s="10" t="n">
        <x:v>11</x:v>
      </x:c>
      <x:c r="F15" s="3" t="str">
        <x:v>boiler</x:v>
      </x:c>
      <x:c r="G15" s="3" t="str">
        <x:v>simulated-facilities-team</x:v>
      </x:c>
      <x:c r="H15" s="3" t="str">
        <x:v>True</x:v>
      </x:c>
      <x:c r="I15" s="3" t="str">
        <x:v>MIT</x:v>
      </x:c>
    </x:row>
    <x:row r="16" ht="72" customHeight="1">
      <x:c r="A16" s="3" t="str">
        <x:v>2023-boiler-12</x:v>
      </x:c>
      <x:c r="B16" s="3" t="str">
        <x:v>evidence/2023-boiler-12.json</x:v>
      </x:c>
      <x:c r="C16" s="3" t="str">
        <x:v>50d96f2dc7dfdd2ec617466326a07f42f6319a20f1743a0d62b51672bf33d7e0</x:v>
      </x:c>
      <x:c r="D16" s="10" t="n">
        <x:v>2023</x:v>
      </x:c>
      <x:c r="E16" s="10" t="n">
        <x:v>12</x:v>
      </x:c>
      <x:c r="F16" s="3" t="str">
        <x:v>boiler</x:v>
      </x:c>
      <x:c r="G16" s="3" t="str">
        <x:v>simulated-facilities-team</x:v>
      </x:c>
      <x:c r="H16" s="3" t="str">
        <x:v>True</x:v>
      </x:c>
      <x:c r="I16" s="3" t="str">
        <x:v>MIT</x:v>
      </x:c>
    </x:row>
    <x:row r="17" ht="72" customHeight="1">
      <x:c r="A17" s="3" t="str">
        <x:v>2023-generator-01</x:v>
      </x:c>
      <x:c r="B17" s="3" t="str">
        <x:v>evidence/2023-generator-01.json</x:v>
      </x:c>
      <x:c r="C17" s="3" t="str">
        <x:v>0c29879b08a769627c27353d027f16190f5a9ee490b43d9091fdf38265c0a128</x:v>
      </x:c>
      <x:c r="D17" s="10" t="n">
        <x:v>2023</x:v>
      </x:c>
      <x:c r="E17" s="10" t="n">
        <x:v>1</x:v>
      </x:c>
      <x:c r="F17" s="3" t="str">
        <x:v>generator</x:v>
      </x:c>
      <x:c r="G17" s="3" t="str">
        <x:v>simulated-facilities-team</x:v>
      </x:c>
      <x:c r="H17" s="3" t="str">
        <x:v>True</x:v>
      </x:c>
      <x:c r="I17" s="3" t="str">
        <x:v>MIT</x:v>
      </x:c>
    </x:row>
    <x:row r="18" ht="72" customHeight="1">
      <x:c r="A18" s="3" t="str">
        <x:v>2023-generator-02</x:v>
      </x:c>
      <x:c r="B18" s="3" t="str">
        <x:v>evidence/2023-generator-02.json</x:v>
      </x:c>
      <x:c r="C18" s="3" t="str">
        <x:v>b5d98ae2bbb05560e32b56ec88088632cfd8583e5195fe2e73397e4218af8238</x:v>
      </x:c>
      <x:c r="D18" s="10" t="n">
        <x:v>2023</x:v>
      </x:c>
      <x:c r="E18" s="10" t="n">
        <x:v>2</x:v>
      </x:c>
      <x:c r="F18" s="3" t="str">
        <x:v>generator</x:v>
      </x:c>
      <x:c r="G18" s="3" t="str">
        <x:v>simulated-facilities-team</x:v>
      </x:c>
      <x:c r="H18" s="3" t="str">
        <x:v>True</x:v>
      </x:c>
      <x:c r="I18" s="3" t="str">
        <x:v>MIT</x:v>
      </x:c>
    </x:row>
    <x:row r="19" ht="72" customHeight="1">
      <x:c r="A19" s="3" t="str">
        <x:v>2023-generator-03</x:v>
      </x:c>
      <x:c r="B19" s="3" t="str">
        <x:v>evidence/2023-generator-03.json</x:v>
      </x:c>
      <x:c r="C19" s="3" t="str">
        <x:v>668941ceed7ca4d928c14cfde3b3c2111915e64eeb790c07e67ede9ba6460da0</x:v>
      </x:c>
      <x:c r="D19" s="10" t="n">
        <x:v>2023</x:v>
      </x:c>
      <x:c r="E19" s="10" t="n">
        <x:v>3</x:v>
      </x:c>
      <x:c r="F19" s="3" t="str">
        <x:v>generator</x:v>
      </x:c>
      <x:c r="G19" s="3" t="str">
        <x:v>simulated-facilities-team</x:v>
      </x:c>
      <x:c r="H19" s="3" t="str">
        <x:v>True</x:v>
      </x:c>
      <x:c r="I19" s="3" t="str">
        <x:v>MIT</x:v>
      </x:c>
    </x:row>
    <x:row r="20" ht="72" customHeight="1">
      <x:c r="A20" s="3" t="str">
        <x:v>2023-generator-04</x:v>
      </x:c>
      <x:c r="B20" s="3" t="str">
        <x:v>evidence/2023-generator-04.json</x:v>
      </x:c>
      <x:c r="C20" s="3" t="str">
        <x:v>bbc537be273dcff61a68158c425994a19c7d276e06bcf34ac1724a98b32bbe47</x:v>
      </x:c>
      <x:c r="D20" s="10" t="n">
        <x:v>2023</x:v>
      </x:c>
      <x:c r="E20" s="10" t="n">
        <x:v>4</x:v>
      </x:c>
      <x:c r="F20" s="3" t="str">
        <x:v>generator</x:v>
      </x:c>
      <x:c r="G20" s="3" t="str">
        <x:v>simulated-facilities-team</x:v>
      </x:c>
      <x:c r="H20" s="3" t="str">
        <x:v>True</x:v>
      </x:c>
      <x:c r="I20" s="3" t="str">
        <x:v>MIT</x:v>
      </x:c>
    </x:row>
    <x:row r="21" ht="72" customHeight="1">
      <x:c r="A21" s="3" t="str">
        <x:v>2023-generator-05</x:v>
      </x:c>
      <x:c r="B21" s="3" t="str">
        <x:v>evidence/2023-generator-05.json</x:v>
      </x:c>
      <x:c r="C21" s="3" t="str">
        <x:v>236b9b637d86416371477fdf2706f97773449b7890c7e024a3bec281f3965947</x:v>
      </x:c>
      <x:c r="D21" s="10" t="n">
        <x:v>2023</x:v>
      </x:c>
      <x:c r="E21" s="10" t="n">
        <x:v>5</x:v>
      </x:c>
      <x:c r="F21" s="3" t="str">
        <x:v>generator</x:v>
      </x:c>
      <x:c r="G21" s="3" t="str">
        <x:v>simulated-facilities-team</x:v>
      </x:c>
      <x:c r="H21" s="3" t="str">
        <x:v>True</x:v>
      </x:c>
      <x:c r="I21" s="3" t="str">
        <x:v>MIT</x:v>
      </x:c>
    </x:row>
    <x:row r="22" ht="72" customHeight="1">
      <x:c r="A22" s="3" t="str">
        <x:v>2023-generator-06</x:v>
      </x:c>
      <x:c r="B22" s="3" t="str">
        <x:v>evidence/2023-generator-06.json</x:v>
      </x:c>
      <x:c r="C22" s="3" t="str">
        <x:v>221e3fffc0ec0d77a359fd4f1083eac0348fbbfa2c4b30315c900b0edfbd9eed</x:v>
      </x:c>
      <x:c r="D22" s="10" t="n">
        <x:v>2023</x:v>
      </x:c>
      <x:c r="E22" s="10" t="n">
        <x:v>6</x:v>
      </x:c>
      <x:c r="F22" s="3" t="str">
        <x:v>generator</x:v>
      </x:c>
      <x:c r="G22" s="3" t="str">
        <x:v>simulated-facilities-team</x:v>
      </x:c>
      <x:c r="H22" s="3" t="str">
        <x:v>True</x:v>
      </x:c>
      <x:c r="I22" s="3" t="str">
        <x:v>MIT</x:v>
      </x:c>
    </x:row>
    <x:row r="23" ht="72" customHeight="1">
      <x:c r="A23" s="3" t="str">
        <x:v>2023-generator-07</x:v>
      </x:c>
      <x:c r="B23" s="3" t="str">
        <x:v>evidence/2023-generator-07.json</x:v>
      </x:c>
      <x:c r="C23" s="3" t="str">
        <x:v>fe03248cd02bb6f95e1001ffb9fdff996a65b26d5b023460e67aab26bb7ef67c</x:v>
      </x:c>
      <x:c r="D23" s="10" t="n">
        <x:v>2023</x:v>
      </x:c>
      <x:c r="E23" s="10" t="n">
        <x:v>7</x:v>
      </x:c>
      <x:c r="F23" s="3" t="str">
        <x:v>generator</x:v>
      </x:c>
      <x:c r="G23" s="3" t="str">
        <x:v>simulated-facilities-team</x:v>
      </x:c>
      <x:c r="H23" s="3" t="str">
        <x:v>True</x:v>
      </x:c>
      <x:c r="I23" s="3" t="str">
        <x:v>MIT</x:v>
      </x:c>
    </x:row>
    <x:row r="24" ht="72" customHeight="1">
      <x:c r="A24" s="3" t="str">
        <x:v>2023-generator-08</x:v>
      </x:c>
      <x:c r="B24" s="3" t="str">
        <x:v>evidence/2023-generator-08.json</x:v>
      </x:c>
      <x:c r="C24" s="3" t="str">
        <x:v>c26cc5c15b38ea7099c84e97de238734d891efbe0642afb05b1197b628654d77</x:v>
      </x:c>
      <x:c r="D24" s="10" t="n">
        <x:v>2023</x:v>
      </x:c>
      <x:c r="E24" s="10" t="n">
        <x:v>8</x:v>
      </x:c>
      <x:c r="F24" s="3" t="str">
        <x:v>generator</x:v>
      </x:c>
      <x:c r="G24" s="3" t="str">
        <x:v>simulated-facilities-team</x:v>
      </x:c>
      <x:c r="H24" s="3" t="str">
        <x:v>True</x:v>
      </x:c>
      <x:c r="I24" s="3" t="str">
        <x:v>MIT</x:v>
      </x:c>
    </x:row>
    <x:row r="25" ht="72" customHeight="1">
      <x:c r="A25" s="3" t="str">
        <x:v>2023-generator-09</x:v>
      </x:c>
      <x:c r="B25" s="3" t="str">
        <x:v>evidence/2023-generator-09.json</x:v>
      </x:c>
      <x:c r="C25" s="3" t="str">
        <x:v>d9fc35819ecdc9e168d3581a5a0a91c3521f57f745b351d357f637aeb003904f</x:v>
      </x:c>
      <x:c r="D25" s="10" t="n">
        <x:v>2023</x:v>
      </x:c>
      <x:c r="E25" s="10" t="n">
        <x:v>9</x:v>
      </x:c>
      <x:c r="F25" s="3" t="str">
        <x:v>generator</x:v>
      </x:c>
      <x:c r="G25" s="3" t="str">
        <x:v>simulated-facilities-team</x:v>
      </x:c>
      <x:c r="H25" s="3" t="str">
        <x:v>True</x:v>
      </x:c>
      <x:c r="I25" s="3" t="str">
        <x:v>MIT</x:v>
      </x:c>
    </x:row>
    <x:row r="26" ht="72" customHeight="1">
      <x:c r="A26" s="3" t="str">
        <x:v>2023-generator-10</x:v>
      </x:c>
      <x:c r="B26" s="3" t="str">
        <x:v>evidence/2023-generator-10.json</x:v>
      </x:c>
      <x:c r="C26" s="3" t="str">
        <x:v>db57740e1bccd14ca827bb044b9bfb4b0e2b92962ce0512dacc884f89dc70aa6</x:v>
      </x:c>
      <x:c r="D26" s="10" t="n">
        <x:v>2023</x:v>
      </x:c>
      <x:c r="E26" s="10" t="n">
        <x:v>10</x:v>
      </x:c>
      <x:c r="F26" s="3" t="str">
        <x:v>generator</x:v>
      </x:c>
      <x:c r="G26" s="3" t="str">
        <x:v>simulated-facilities-team</x:v>
      </x:c>
      <x:c r="H26" s="3" t="str">
        <x:v>True</x:v>
      </x:c>
      <x:c r="I26" s="3" t="str">
        <x:v>MIT</x:v>
      </x:c>
    </x:row>
    <x:row r="27" ht="72" customHeight="1">
      <x:c r="A27" s="3" t="str">
        <x:v>2023-generator-11</x:v>
      </x:c>
      <x:c r="B27" s="3" t="str">
        <x:v>evidence/2023-generator-11.json</x:v>
      </x:c>
      <x:c r="C27" s="3" t="str">
        <x:v>f30c33e2f6873b82237cb05ac60979d7151586277d06d2e82d9a301c88b0ca6e</x:v>
      </x:c>
      <x:c r="D27" s="10" t="n">
        <x:v>2023</x:v>
      </x:c>
      <x:c r="E27" s="10" t="n">
        <x:v>11</x:v>
      </x:c>
      <x:c r="F27" s="3" t="str">
        <x:v>generator</x:v>
      </x:c>
      <x:c r="G27" s="3" t="str">
        <x:v>simulated-facilities-team</x:v>
      </x:c>
      <x:c r="H27" s="3" t="str">
        <x:v>True</x:v>
      </x:c>
      <x:c r="I27" s="3" t="str">
        <x:v>MIT</x:v>
      </x:c>
    </x:row>
    <x:row r="28" ht="72" customHeight="1">
      <x:c r="A28" s="3" t="str">
        <x:v>2023-generator-12</x:v>
      </x:c>
      <x:c r="B28" s="3" t="str">
        <x:v>evidence/2023-generator-12.json</x:v>
      </x:c>
      <x:c r="C28" s="3" t="str">
        <x:v>77b44ca6a62eb2d5c167caf18e8f89df02eccf64c3ace98d3779c15b59e8bb2f</x:v>
      </x:c>
      <x:c r="D28" s="10" t="n">
        <x:v>2023</x:v>
      </x:c>
      <x:c r="E28" s="10" t="n">
        <x:v>12</x:v>
      </x:c>
      <x:c r="F28" s="3" t="str">
        <x:v>generator</x:v>
      </x:c>
      <x:c r="G28" s="3" t="str">
        <x:v>simulated-facilities-team</x:v>
      </x:c>
      <x:c r="H28" s="3" t="str">
        <x:v>True</x:v>
      </x:c>
      <x:c r="I28" s="3" t="str">
        <x:v>MIT</x:v>
      </x:c>
    </x:row>
    <x:row r="29" ht="72" customHeight="1">
      <x:c r="A29" s="3" t="str">
        <x:v>2023-new-generator-01</x:v>
      </x:c>
      <x:c r="B29" s="3" t="str">
        <x:v>evidence/2023-new-generator-01.json</x:v>
      </x:c>
      <x:c r="C29" s="3" t="str">
        <x:v>5a0ca92e36d34954155cbc4ddef39058e1804e7988803e17012dc52fff007423</x:v>
      </x:c>
      <x:c r="D29" s="10" t="n">
        <x:v>2023</x:v>
      </x:c>
      <x:c r="E29" s="10" t="n">
        <x:v>1</x:v>
      </x:c>
      <x:c r="F29" s="3" t="str">
        <x:v>new-generator</x:v>
      </x:c>
      <x:c r="G29" s="3" t="str">
        <x:v>simulated-facilities-team</x:v>
      </x:c>
      <x:c r="H29" s="3" t="str">
        <x:v>True</x:v>
      </x:c>
      <x:c r="I29" s="3" t="str">
        <x:v>MIT</x:v>
      </x:c>
    </x:row>
    <x:row r="30" ht="72" customHeight="1">
      <x:c r="A30" s="3" t="str">
        <x:v>2023-new-generator-02</x:v>
      </x:c>
      <x:c r="B30" s="3" t="str">
        <x:v>evidence/2023-new-generator-02.json</x:v>
      </x:c>
      <x:c r="C30" s="3" t="str">
        <x:v>c9e0f6e61e2a1face8fd59b872d8f4559f68e345203d859a8a90a553e28466fb</x:v>
      </x:c>
      <x:c r="D30" s="10" t="n">
        <x:v>2023</x:v>
      </x:c>
      <x:c r="E30" s="10" t="n">
        <x:v>2</x:v>
      </x:c>
      <x:c r="F30" s="3" t="str">
        <x:v>new-generator</x:v>
      </x:c>
      <x:c r="G30" s="3" t="str">
        <x:v>simulated-facilities-team</x:v>
      </x:c>
      <x:c r="H30" s="3" t="str">
        <x:v>True</x:v>
      </x:c>
      <x:c r="I30" s="3" t="str">
        <x:v>MIT</x:v>
      </x:c>
    </x:row>
    <x:row r="31" ht="72" customHeight="1">
      <x:c r="A31" s="3" t="str">
        <x:v>2023-new-generator-03</x:v>
      </x:c>
      <x:c r="B31" s="3" t="str">
        <x:v>evidence/2023-new-generator-03.json</x:v>
      </x:c>
      <x:c r="C31" s="3" t="str">
        <x:v>d8bff132c9d87085e375eb6a29303c4d3f14a088219dbc98ddf5df60a96c7e6b</x:v>
      </x:c>
      <x:c r="D31" s="10" t="n">
        <x:v>2023</x:v>
      </x:c>
      <x:c r="E31" s="10" t="n">
        <x:v>3</x:v>
      </x:c>
      <x:c r="F31" s="3" t="str">
        <x:v>new-generator</x:v>
      </x:c>
      <x:c r="G31" s="3" t="str">
        <x:v>simulated-facilities-team</x:v>
      </x:c>
      <x:c r="H31" s="3" t="str">
        <x:v>True</x:v>
      </x:c>
      <x:c r="I31" s="3" t="str">
        <x:v>MIT</x:v>
      </x:c>
    </x:row>
    <x:row r="32" ht="72" customHeight="1">
      <x:c r="A32" s="3" t="str">
        <x:v>2023-new-generator-04</x:v>
      </x:c>
      <x:c r="B32" s="3" t="str">
        <x:v>evidence/2023-new-generator-04.json</x:v>
      </x:c>
      <x:c r="C32" s="3" t="str">
        <x:v>e76be710dd62b3a0e393d814c6743a15a63f0f4551042d98c935d3158ddcd835</x:v>
      </x:c>
      <x:c r="D32" s="10" t="n">
        <x:v>2023</x:v>
      </x:c>
      <x:c r="E32" s="10" t="n">
        <x:v>4</x:v>
      </x:c>
      <x:c r="F32" s="3" t="str">
        <x:v>new-generator</x:v>
      </x:c>
      <x:c r="G32" s="3" t="str">
        <x:v>simulated-facilities-team</x:v>
      </x:c>
      <x:c r="H32" s="3" t="str">
        <x:v>True</x:v>
      </x:c>
      <x:c r="I32" s="3" t="str">
        <x:v>MIT</x:v>
      </x:c>
    </x:row>
    <x:row r="33" ht="72" customHeight="1">
      <x:c r="A33" s="3" t="str">
        <x:v>2023-new-generator-05</x:v>
      </x:c>
      <x:c r="B33" s="3" t="str">
        <x:v>evidence/2023-new-generator-05.json</x:v>
      </x:c>
      <x:c r="C33" s="3" t="str">
        <x:v>1b3ce450971b10efc831e5bb1f16d6fc4e05f8cf6fd504d229f6b5590176c58c</x:v>
      </x:c>
      <x:c r="D33" s="10" t="n">
        <x:v>2023</x:v>
      </x:c>
      <x:c r="E33" s="10" t="n">
        <x:v>5</x:v>
      </x:c>
      <x:c r="F33" s="3" t="str">
        <x:v>new-generator</x:v>
      </x:c>
      <x:c r="G33" s="3" t="str">
        <x:v>simulated-facilities-team</x:v>
      </x:c>
      <x:c r="H33" s="3" t="str">
        <x:v>True</x:v>
      </x:c>
      <x:c r="I33" s="3" t="str">
        <x:v>MIT</x:v>
      </x:c>
    </x:row>
    <x:row r="34" ht="72" customHeight="1">
      <x:c r="A34" s="3" t="str">
        <x:v>2023-new-generator-06</x:v>
      </x:c>
      <x:c r="B34" s="3" t="str">
        <x:v>evidence/2023-new-generator-06.json</x:v>
      </x:c>
      <x:c r="C34" s="3" t="str">
        <x:v>12e3b060cbd8aff06ca7c218ae60322a8fca40abc8bafac367a77e3649544223</x:v>
      </x:c>
      <x:c r="D34" s="10" t="n">
        <x:v>2023</x:v>
      </x:c>
      <x:c r="E34" s="10" t="n">
        <x:v>6</x:v>
      </x:c>
      <x:c r="F34" s="3" t="str">
        <x:v>new-generator</x:v>
      </x:c>
      <x:c r="G34" s="3" t="str">
        <x:v>simulated-facilities-team</x:v>
      </x:c>
      <x:c r="H34" s="3" t="str">
        <x:v>True</x:v>
      </x:c>
      <x:c r="I34" s="3" t="str">
        <x:v>MIT</x:v>
      </x:c>
    </x:row>
    <x:row r="35" ht="72" customHeight="1">
      <x:c r="A35" s="3" t="str">
        <x:v>2023-new-generator-07</x:v>
      </x:c>
      <x:c r="B35" s="3" t="str">
        <x:v>evidence/2023-new-generator-07.json</x:v>
      </x:c>
      <x:c r="C35" s="3" t="str">
        <x:v>80c97b4cb462b77b88f0d62a20de0c0c8ede0f6026cb3b08aef528fea7fe7904</x:v>
      </x:c>
      <x:c r="D35" s="10" t="n">
        <x:v>2023</x:v>
      </x:c>
      <x:c r="E35" s="10" t="n">
        <x:v>7</x:v>
      </x:c>
      <x:c r="F35" s="3" t="str">
        <x:v>new-generator</x:v>
      </x:c>
      <x:c r="G35" s="3" t="str">
        <x:v>simulated-facilities-team</x:v>
      </x:c>
      <x:c r="H35" s="3" t="str">
        <x:v>True</x:v>
      </x:c>
      <x:c r="I35" s="3" t="str">
        <x:v>MIT</x:v>
      </x:c>
    </x:row>
    <x:row r="36" ht="72" customHeight="1">
      <x:c r="A36" s="3" t="str">
        <x:v>2023-new-generator-08</x:v>
      </x:c>
      <x:c r="B36" s="3" t="str">
        <x:v>evidence/2023-new-generator-08.json</x:v>
      </x:c>
      <x:c r="C36" s="3" t="str">
        <x:v>b848be2261a6d2786019a31989a8555119445d078d801de5e0c8d914360dfa4e</x:v>
      </x:c>
      <x:c r="D36" s="10" t="n">
        <x:v>2023</x:v>
      </x:c>
      <x:c r="E36" s="10" t="n">
        <x:v>8</x:v>
      </x:c>
      <x:c r="F36" s="3" t="str">
        <x:v>new-generator</x:v>
      </x:c>
      <x:c r="G36" s="3" t="str">
        <x:v>simulated-facilities-team</x:v>
      </x:c>
      <x:c r="H36" s="3" t="str">
        <x:v>True</x:v>
      </x:c>
      <x:c r="I36" s="3" t="str">
        <x:v>MIT</x:v>
      </x:c>
    </x:row>
    <x:row r="37" ht="72" customHeight="1">
      <x:c r="A37" s="3" t="str">
        <x:v>2023-new-generator-09</x:v>
      </x:c>
      <x:c r="B37" s="3" t="str">
        <x:v>evidence/2023-new-generator-09.json</x:v>
      </x:c>
      <x:c r="C37" s="3" t="str">
        <x:v>f129e68d5aa0d37aef296b5fc82a0a8c9bde1bc644801e146053c403db3f652d</x:v>
      </x:c>
      <x:c r="D37" s="10" t="n">
        <x:v>2023</x:v>
      </x:c>
      <x:c r="E37" s="10" t="n">
        <x:v>9</x:v>
      </x:c>
      <x:c r="F37" s="3" t="str">
        <x:v>new-generator</x:v>
      </x:c>
      <x:c r="G37" s="3" t="str">
        <x:v>simulated-facilities-team</x:v>
      </x:c>
      <x:c r="H37" s="3" t="str">
        <x:v>True</x:v>
      </x:c>
      <x:c r="I37" s="3" t="str">
        <x:v>MIT</x:v>
      </x:c>
    </x:row>
    <x:row r="38" ht="72" customHeight="1">
      <x:c r="A38" s="3" t="str">
        <x:v>2023-new-generator-10</x:v>
      </x:c>
      <x:c r="B38" s="3" t="str">
        <x:v>evidence/2023-new-generator-10.json</x:v>
      </x:c>
      <x:c r="C38" s="3" t="str">
        <x:v>b46dcf24b5b03a8dcc372276e9aba502d4bcdab87a8ef72518927eba1b49a92d</x:v>
      </x:c>
      <x:c r="D38" s="10" t="n">
        <x:v>2023</x:v>
      </x:c>
      <x:c r="E38" s="10" t="n">
        <x:v>10</x:v>
      </x:c>
      <x:c r="F38" s="3" t="str">
        <x:v>new-generator</x:v>
      </x:c>
      <x:c r="G38" s="3" t="str">
        <x:v>simulated-facilities-team</x:v>
      </x:c>
      <x:c r="H38" s="3" t="str">
        <x:v>True</x:v>
      </x:c>
      <x:c r="I38" s="3" t="str">
        <x:v>MIT</x:v>
      </x:c>
    </x:row>
    <x:row r="39" ht="72" customHeight="1">
      <x:c r="A39" s="3" t="str">
        <x:v>2023-new-generator-11</x:v>
      </x:c>
      <x:c r="B39" s="3" t="str">
        <x:v>evidence/2023-new-generator-11.json</x:v>
      </x:c>
      <x:c r="C39" s="3" t="str">
        <x:v>2c93ba9b24da1f8a6291d33e0b69b6e4519aacb4467d1e9356a2f885d8422de9</x:v>
      </x:c>
      <x:c r="D39" s="10" t="n">
        <x:v>2023</x:v>
      </x:c>
      <x:c r="E39" s="10" t="n">
        <x:v>11</x:v>
      </x:c>
      <x:c r="F39" s="3" t="str">
        <x:v>new-generator</x:v>
      </x:c>
      <x:c r="G39" s="3" t="str">
        <x:v>simulated-facilities-team</x:v>
      </x:c>
      <x:c r="H39" s="3" t="str">
        <x:v>True</x:v>
      </x:c>
      <x:c r="I39" s="3" t="str">
        <x:v>MIT</x:v>
      </x:c>
    </x:row>
    <x:row r="40" ht="72" customHeight="1">
      <x:c r="A40" s="3" t="str">
        <x:v>2023-new-generator-12</x:v>
      </x:c>
      <x:c r="B40" s="3" t="str">
        <x:v>evidence/2023-new-generator-12.json</x:v>
      </x:c>
      <x:c r="C40" s="3" t="str">
        <x:v>05cd67c81fc028e314e9e13778d1f512a84828a0bb3c26b909b72f3ecf3603f6</x:v>
      </x:c>
      <x:c r="D40" s="10" t="n">
        <x:v>2023</x:v>
      </x:c>
      <x:c r="E40" s="10" t="n">
        <x:v>12</x:v>
      </x:c>
      <x:c r="F40" s="3" t="str">
        <x:v>new-generator</x:v>
      </x:c>
      <x:c r="G40" s="3" t="str">
        <x:v>simulated-facilities-team</x:v>
      </x:c>
      <x:c r="H40" s="3" t="str">
        <x:v>True</x:v>
      </x:c>
      <x:c r="I40" s="3" t="str">
        <x:v>MIT</x:v>
      </x:c>
    </x:row>
    <x:row r="41" ht="72" customHeight="1">
      <x:c r="A41" s="3" t="str">
        <x:v>2023-cooling-01</x:v>
      </x:c>
      <x:c r="B41" s="3" t="str">
        <x:v>evidence/2023-cooling-01.json</x:v>
      </x:c>
      <x:c r="C41" s="3" t="str">
        <x:v>a9f693102901f3a054133f25311c8387b132887c733b02e28a2ea7a6bc5949f6</x:v>
      </x:c>
      <x:c r="D41" s="10" t="n">
        <x:v>2023</x:v>
      </x:c>
      <x:c r="E41" s="10" t="n">
        <x:v>1</x:v>
      </x:c>
      <x:c r="F41" s="3" t="str">
        <x:v>cooling</x:v>
      </x:c>
      <x:c r="G41" s="3" t="str">
        <x:v>simulated-facilities-team</x:v>
      </x:c>
      <x:c r="H41" s="3" t="str">
        <x:v>True</x:v>
      </x:c>
      <x:c r="I41" s="3" t="str">
        <x:v>MIT</x:v>
      </x:c>
    </x:row>
    <x:row r="42" ht="72" customHeight="1">
      <x:c r="A42" s="3" t="str">
        <x:v>2023-cooling-02</x:v>
      </x:c>
      <x:c r="B42" s="3" t="str">
        <x:v>evidence/2023-cooling-02.json</x:v>
      </x:c>
      <x:c r="C42" s="3" t="str">
        <x:v>7b55ba3a26f8beeb546d3e4c934cc7046a352f7c58a81c42fc8212736caeb655</x:v>
      </x:c>
      <x:c r="D42" s="10" t="n">
        <x:v>2023</x:v>
      </x:c>
      <x:c r="E42" s="10" t="n">
        <x:v>2</x:v>
      </x:c>
      <x:c r="F42" s="3" t="str">
        <x:v>cooling</x:v>
      </x:c>
      <x:c r="G42" s="3" t="str">
        <x:v>simulated-facilities-team</x:v>
      </x:c>
      <x:c r="H42" s="3" t="str">
        <x:v>True</x:v>
      </x:c>
      <x:c r="I42" s="3" t="str">
        <x:v>MIT</x:v>
      </x:c>
    </x:row>
    <x:row r="43" ht="72" customHeight="1">
      <x:c r="A43" s="3" t="str">
        <x:v>2023-cooling-03</x:v>
      </x:c>
      <x:c r="B43" s="3" t="str">
        <x:v>evidence/2023-cooling-03.json</x:v>
      </x:c>
      <x:c r="C43" s="3" t="str">
        <x:v>32c50d0d0e284a03ca5ac2fe59969b3abf425fc0ca42dd35ac03bb5794af9088</x:v>
      </x:c>
      <x:c r="D43" s="10" t="n">
        <x:v>2023</x:v>
      </x:c>
      <x:c r="E43" s="10" t="n">
        <x:v>3</x:v>
      </x:c>
      <x:c r="F43" s="3" t="str">
        <x:v>cooling</x:v>
      </x:c>
      <x:c r="G43" s="3" t="str">
        <x:v>simulated-facilities-team</x:v>
      </x:c>
      <x:c r="H43" s="3" t="str">
        <x:v>True</x:v>
      </x:c>
      <x:c r="I43" s="3" t="str">
        <x:v>MIT</x:v>
      </x:c>
    </x:row>
    <x:row r="44" ht="72" customHeight="1">
      <x:c r="A44" s="3" t="str">
        <x:v>2023-cooling-04</x:v>
      </x:c>
      <x:c r="B44" s="3" t="str">
        <x:v>evidence/2023-cooling-04.json</x:v>
      </x:c>
      <x:c r="C44" s="3" t="str">
        <x:v>091ba340bd01a47fbc005399147d795d04cbd566d475b75c25e55510e17682d6</x:v>
      </x:c>
      <x:c r="D44" s="10" t="n">
        <x:v>2023</x:v>
      </x:c>
      <x:c r="E44" s="10" t="n">
        <x:v>4</x:v>
      </x:c>
      <x:c r="F44" s="3" t="str">
        <x:v>cooling</x:v>
      </x:c>
      <x:c r="G44" s="3" t="str">
        <x:v>simulated-facilities-team</x:v>
      </x:c>
      <x:c r="H44" s="3" t="str">
        <x:v>True</x:v>
      </x:c>
      <x:c r="I44" s="3" t="str">
        <x:v>MIT</x:v>
      </x:c>
    </x:row>
    <x:row r="45" ht="72" customHeight="1">
      <x:c r="A45" s="3" t="str">
        <x:v>2023-cooling-05</x:v>
      </x:c>
      <x:c r="B45" s="3" t="str">
        <x:v>evidence/2023-cooling-05.json</x:v>
      </x:c>
      <x:c r="C45" s="3" t="str">
        <x:v>d99e92c1b2256babb192e4cf6c148050800473133a43cb5a63f152c55c011962</x:v>
      </x:c>
      <x:c r="D45" s="10" t="n">
        <x:v>2023</x:v>
      </x:c>
      <x:c r="E45" s="10" t="n">
        <x:v>5</x:v>
      </x:c>
      <x:c r="F45" s="3" t="str">
        <x:v>cooling</x:v>
      </x:c>
      <x:c r="G45" s="3" t="str">
        <x:v>simulated-facilities-team</x:v>
      </x:c>
      <x:c r="H45" s="3" t="str">
        <x:v>True</x:v>
      </x:c>
      <x:c r="I45" s="3" t="str">
        <x:v>MIT</x:v>
      </x:c>
    </x:row>
    <x:row r="46" ht="72" customHeight="1">
      <x:c r="A46" s="3" t="str">
        <x:v>2023-cooling-06</x:v>
      </x:c>
      <x:c r="B46" s="3" t="str">
        <x:v>evidence/2023-cooling-06.json</x:v>
      </x:c>
      <x:c r="C46" s="3" t="str">
        <x:v>9ddf537aa4cef843c53e3b1200a2355b3b7a3db05405d0b21a33bdaa27c9376e</x:v>
      </x:c>
      <x:c r="D46" s="10" t="n">
        <x:v>2023</x:v>
      </x:c>
      <x:c r="E46" s="10" t="n">
        <x:v>6</x:v>
      </x:c>
      <x:c r="F46" s="3" t="str">
        <x:v>cooling</x:v>
      </x:c>
      <x:c r="G46" s="3" t="str">
        <x:v>simulated-facilities-team</x:v>
      </x:c>
      <x:c r="H46" s="3" t="str">
        <x:v>True</x:v>
      </x:c>
      <x:c r="I46" s="3" t="str">
        <x:v>MIT</x:v>
      </x:c>
    </x:row>
    <x:row r="47" ht="72" customHeight="1">
      <x:c r="A47" s="3" t="str">
        <x:v>2023-cooling-07</x:v>
      </x:c>
      <x:c r="B47" s="3" t="str">
        <x:v>evidence/2023-cooling-07.json</x:v>
      </x:c>
      <x:c r="C47" s="3" t="str">
        <x:v>23c739d9ec4071ad7969d251b64de8687176633234989a047adf3dac8763d38f</x:v>
      </x:c>
      <x:c r="D47" s="10" t="n">
        <x:v>2023</x:v>
      </x:c>
      <x:c r="E47" s="10" t="n">
        <x:v>7</x:v>
      </x:c>
      <x:c r="F47" s="3" t="str">
        <x:v>cooling</x:v>
      </x:c>
      <x:c r="G47" s="3" t="str">
        <x:v>simulated-facilities-team</x:v>
      </x:c>
      <x:c r="H47" s="3" t="str">
        <x:v>True</x:v>
      </x:c>
      <x:c r="I47" s="3" t="str">
        <x:v>MIT</x:v>
      </x:c>
    </x:row>
    <x:row r="48" ht="72" customHeight="1">
      <x:c r="A48" s="3" t="str">
        <x:v>2023-cooling-08</x:v>
      </x:c>
      <x:c r="B48" s="3" t="str">
        <x:v>evidence/2023-cooling-08.json</x:v>
      </x:c>
      <x:c r="C48" s="3" t="str">
        <x:v>5b461e4cc0e5903224cc0e387958e628dd2b67a284c20f57173f77acee2412b1</x:v>
      </x:c>
      <x:c r="D48" s="10" t="n">
        <x:v>2023</x:v>
      </x:c>
      <x:c r="E48" s="10" t="n">
        <x:v>8</x:v>
      </x:c>
      <x:c r="F48" s="3" t="str">
        <x:v>cooling</x:v>
      </x:c>
      <x:c r="G48" s="3" t="str">
        <x:v>simulated-facilities-team</x:v>
      </x:c>
      <x:c r="H48" s="3" t="str">
        <x:v>True</x:v>
      </x:c>
      <x:c r="I48" s="3" t="str">
        <x:v>MIT</x:v>
      </x:c>
    </x:row>
    <x:row r="49" ht="72" customHeight="1">
      <x:c r="A49" s="3" t="str">
        <x:v>2023-cooling-09</x:v>
      </x:c>
      <x:c r="B49" s="3" t="str">
        <x:v>evidence/2023-cooling-09.json</x:v>
      </x:c>
      <x:c r="C49" s="3" t="str">
        <x:v>47f1be30e3f6a23c0b81e94036e2d6a11588ba5a5a2e83fbb697b0ca37de1e55</x:v>
      </x:c>
      <x:c r="D49" s="10" t="n">
        <x:v>2023</x:v>
      </x:c>
      <x:c r="E49" s="10" t="n">
        <x:v>9</x:v>
      </x:c>
      <x:c r="F49" s="3" t="str">
        <x:v>cooling</x:v>
      </x:c>
      <x:c r="G49" s="3" t="str">
        <x:v>simulated-facilities-team</x:v>
      </x:c>
      <x:c r="H49" s="3" t="str">
        <x:v>True</x:v>
      </x:c>
      <x:c r="I49" s="3" t="str">
        <x:v>MIT</x:v>
      </x:c>
    </x:row>
    <x:row r="50" ht="72" customHeight="1">
      <x:c r="A50" s="3" t="str">
        <x:v>2023-cooling-10</x:v>
      </x:c>
      <x:c r="B50" s="3" t="str">
        <x:v>evidence/2023-cooling-10.json</x:v>
      </x:c>
      <x:c r="C50" s="3" t="str">
        <x:v>dd3892c73f80329a4f0f0ee802b2beb65f81d8124ecaa22335718085d2646195</x:v>
      </x:c>
      <x:c r="D50" s="10" t="n">
        <x:v>2023</x:v>
      </x:c>
      <x:c r="E50" s="10" t="n">
        <x:v>10</x:v>
      </x:c>
      <x:c r="F50" s="3" t="str">
        <x:v>cooling</x:v>
      </x:c>
      <x:c r="G50" s="3" t="str">
        <x:v>simulated-facilities-team</x:v>
      </x:c>
      <x:c r="H50" s="3" t="str">
        <x:v>True</x:v>
      </x:c>
      <x:c r="I50" s="3" t="str">
        <x:v>MIT</x:v>
      </x:c>
    </x:row>
    <x:row r="51" ht="72" customHeight="1">
      <x:c r="A51" s="3" t="str">
        <x:v>2023-cooling-11</x:v>
      </x:c>
      <x:c r="B51" s="3" t="str">
        <x:v>evidence/2023-cooling-11.json</x:v>
      </x:c>
      <x:c r="C51" s="3" t="str">
        <x:v>70858397688be98d9f09bbf08f9c93f7b64484c8cf60213861339ed01b407087</x:v>
      </x:c>
      <x:c r="D51" s="10" t="n">
        <x:v>2023</x:v>
      </x:c>
      <x:c r="E51" s="10" t="n">
        <x:v>11</x:v>
      </x:c>
      <x:c r="F51" s="3" t="str">
        <x:v>cooling</x:v>
      </x:c>
      <x:c r="G51" s="3" t="str">
        <x:v>simulated-facilities-team</x:v>
      </x:c>
      <x:c r="H51" s="3" t="str">
        <x:v>True</x:v>
      </x:c>
      <x:c r="I51" s="3" t="str">
        <x:v>MIT</x:v>
      </x:c>
    </x:row>
    <x:row r="52" ht="72" customHeight="1">
      <x:c r="A52" s="3" t="str">
        <x:v>2023-cooling-12</x:v>
      </x:c>
      <x:c r="B52" s="3" t="str">
        <x:v>evidence/2023-cooling-12.json</x:v>
      </x:c>
      <x:c r="C52" s="3" t="str">
        <x:v>3ff7d50bb197f9745f88156751e0a987bd765aa24ef826433860b7c605927659</x:v>
      </x:c>
      <x:c r="D52" s="10" t="n">
        <x:v>2023</x:v>
      </x:c>
      <x:c r="E52" s="10" t="n">
        <x:v>12</x:v>
      </x:c>
      <x:c r="F52" s="3" t="str">
        <x:v>cooling</x:v>
      </x:c>
      <x:c r="G52" s="3" t="str">
        <x:v>simulated-facilities-team</x:v>
      </x:c>
      <x:c r="H52" s="3" t="str">
        <x:v>True</x:v>
      </x:c>
      <x:c r="I52" s="3" t="str">
        <x:v>MIT</x:v>
      </x:c>
    </x:row>
    <x:row r="53" ht="72" customHeight="1">
      <x:c r="A53" s="3" t="str">
        <x:v>2023-electricity-01</x:v>
      </x:c>
      <x:c r="B53" s="3" t="str">
        <x:v>evidence/2023-electricity-01.json</x:v>
      </x:c>
      <x:c r="C53" s="3" t="str">
        <x:v>134803bb75d213af2cd1314cf9db091d7f447755b4b96977ded1ae224b60d223</x:v>
      </x:c>
      <x:c r="D53" s="10" t="n">
        <x:v>2023</x:v>
      </x:c>
      <x:c r="E53" s="10" t="n">
        <x:v>1</x:v>
      </x:c>
      <x:c r="F53" s="3" t="str">
        <x:v>electricity</x:v>
      </x:c>
      <x:c r="G53" s="3" t="str">
        <x:v>simulated-facilities-team</x:v>
      </x:c>
      <x:c r="H53" s="3" t="str">
        <x:v>True</x:v>
      </x:c>
      <x:c r="I53" s="3" t="str">
        <x:v>MIT</x:v>
      </x:c>
    </x:row>
    <x:row r="54" ht="72" customHeight="1">
      <x:c r="A54" s="3" t="str">
        <x:v>2023-electricity-02</x:v>
      </x:c>
      <x:c r="B54" s="3" t="str">
        <x:v>evidence/2023-electricity-02.json</x:v>
      </x:c>
      <x:c r="C54" s="3" t="str">
        <x:v>4f7cf392a98379ec199597628ae0c35d9e6276388679b06a52f1e5fca1ee1ac9</x:v>
      </x:c>
      <x:c r="D54" s="10" t="n">
        <x:v>2023</x:v>
      </x:c>
      <x:c r="E54" s="10" t="n">
        <x:v>2</x:v>
      </x:c>
      <x:c r="F54" s="3" t="str">
        <x:v>electricity</x:v>
      </x:c>
      <x:c r="G54" s="3" t="str">
        <x:v>simulated-facilities-team</x:v>
      </x:c>
      <x:c r="H54" s="3" t="str">
        <x:v>True</x:v>
      </x:c>
      <x:c r="I54" s="3" t="str">
        <x:v>MIT</x:v>
      </x:c>
    </x:row>
    <x:row r="55" ht="72" customHeight="1">
      <x:c r="A55" s="3" t="str">
        <x:v>2023-electricity-03</x:v>
      </x:c>
      <x:c r="B55" s="3" t="str">
        <x:v>evidence/2023-electricity-03.json</x:v>
      </x:c>
      <x:c r="C55" s="3" t="str">
        <x:v>cd5903122ab428623d6bde0217d6b4d48f68c383ed4bab9c699c0533152ccaab</x:v>
      </x:c>
      <x:c r="D55" s="10" t="n">
        <x:v>2023</x:v>
      </x:c>
      <x:c r="E55" s="10" t="n">
        <x:v>3</x:v>
      </x:c>
      <x:c r="F55" s="3" t="str">
        <x:v>electricity</x:v>
      </x:c>
      <x:c r="G55" s="3" t="str">
        <x:v>simulated-facilities-team</x:v>
      </x:c>
      <x:c r="H55" s="3" t="str">
        <x:v>True</x:v>
      </x:c>
      <x:c r="I55" s="3" t="str">
        <x:v>MIT</x:v>
      </x:c>
    </x:row>
    <x:row r="56" ht="72" customHeight="1">
      <x:c r="A56" s="3" t="str">
        <x:v>2023-electricity-04</x:v>
      </x:c>
      <x:c r="B56" s="3" t="str">
        <x:v>evidence/2023-electricity-04.json</x:v>
      </x:c>
      <x:c r="C56" s="3" t="str">
        <x:v>0c59f10fc805053dda07266b48a4d5c66805cd082fc3172d08c78d1af1381b4c</x:v>
      </x:c>
      <x:c r="D56" s="10" t="n">
        <x:v>2023</x:v>
      </x:c>
      <x:c r="E56" s="10" t="n">
        <x:v>4</x:v>
      </x:c>
      <x:c r="F56" s="3" t="str">
        <x:v>electricity</x:v>
      </x:c>
      <x:c r="G56" s="3" t="str">
        <x:v>simulated-facilities-team</x:v>
      </x:c>
      <x:c r="H56" s="3" t="str">
        <x:v>True</x:v>
      </x:c>
      <x:c r="I56" s="3" t="str">
        <x:v>MIT</x:v>
      </x:c>
    </x:row>
    <x:row r="57" ht="72" customHeight="1">
      <x:c r="A57" s="3" t="str">
        <x:v>2023-electricity-05</x:v>
      </x:c>
      <x:c r="B57" s="3" t="str">
        <x:v>evidence/2023-electricity-05.json</x:v>
      </x:c>
      <x:c r="C57" s="3" t="str">
        <x:v>d453185ca273575e7eea0778b916321fab285eecf84d86080cd27937c1e499c9</x:v>
      </x:c>
      <x:c r="D57" s="10" t="n">
        <x:v>2023</x:v>
      </x:c>
      <x:c r="E57" s="10" t="n">
        <x:v>5</x:v>
      </x:c>
      <x:c r="F57" s="3" t="str">
        <x:v>electricity</x:v>
      </x:c>
      <x:c r="G57" s="3" t="str">
        <x:v>simulated-facilities-team</x:v>
      </x:c>
      <x:c r="H57" s="3" t="str">
        <x:v>True</x:v>
      </x:c>
      <x:c r="I57" s="3" t="str">
        <x:v>MIT</x:v>
      </x:c>
    </x:row>
    <x:row r="58" ht="72" customHeight="1">
      <x:c r="A58" s="3" t="str">
        <x:v>2023-electricity-06</x:v>
      </x:c>
      <x:c r="B58" s="3" t="str">
        <x:v>evidence/2023-electricity-06.json</x:v>
      </x:c>
      <x:c r="C58" s="3" t="str">
        <x:v>f12418c6a0b9c48e88ba1e8fb8b1d12dd195bddaa382b02d475ded13cacec9c6</x:v>
      </x:c>
      <x:c r="D58" s="10" t="n">
        <x:v>2023</x:v>
      </x:c>
      <x:c r="E58" s="10" t="n">
        <x:v>6</x:v>
      </x:c>
      <x:c r="F58" s="3" t="str">
        <x:v>electricity</x:v>
      </x:c>
      <x:c r="G58" s="3" t="str">
        <x:v>simulated-facilities-team</x:v>
      </x:c>
      <x:c r="H58" s="3" t="str">
        <x:v>True</x:v>
      </x:c>
      <x:c r="I58" s="3" t="str">
        <x:v>MIT</x:v>
      </x:c>
    </x:row>
    <x:row r="59" ht="72" customHeight="1">
      <x:c r="A59" s="3" t="str">
        <x:v>2023-electricity-07</x:v>
      </x:c>
      <x:c r="B59" s="3" t="str">
        <x:v>evidence/2023-electricity-07.json</x:v>
      </x:c>
      <x:c r="C59" s="3" t="str">
        <x:v>31613885d73869cde1c05f210e9592837af4a0a3091fd39d9b33b321deb2914d</x:v>
      </x:c>
      <x:c r="D59" s="10" t="n">
        <x:v>2023</x:v>
      </x:c>
      <x:c r="E59" s="10" t="n">
        <x:v>7</x:v>
      </x:c>
      <x:c r="F59" s="3" t="str">
        <x:v>electricity</x:v>
      </x:c>
      <x:c r="G59" s="3" t="str">
        <x:v>simulated-facilities-team</x:v>
      </x:c>
      <x:c r="H59" s="3" t="str">
        <x:v>True</x:v>
      </x:c>
      <x:c r="I59" s="3" t="str">
        <x:v>MIT</x:v>
      </x:c>
    </x:row>
    <x:row r="60" ht="72" customHeight="1">
      <x:c r="A60" s="3" t="str">
        <x:v>2023-electricity-08</x:v>
      </x:c>
      <x:c r="B60" s="3" t="str">
        <x:v>evidence/2023-electricity-08.json</x:v>
      </x:c>
      <x:c r="C60" s="3" t="str">
        <x:v>b9fe672dc99e925ee9401ef3415e8182321986b0dbb9d95e918ca92a39bc0d39</x:v>
      </x:c>
      <x:c r="D60" s="10" t="n">
        <x:v>2023</x:v>
      </x:c>
      <x:c r="E60" s="10" t="n">
        <x:v>8</x:v>
      </x:c>
      <x:c r="F60" s="3" t="str">
        <x:v>electricity</x:v>
      </x:c>
      <x:c r="G60" s="3" t="str">
        <x:v>simulated-facilities-team</x:v>
      </x:c>
      <x:c r="H60" s="3" t="str">
        <x:v>True</x:v>
      </x:c>
      <x:c r="I60" s="3" t="str">
        <x:v>MIT</x:v>
      </x:c>
    </x:row>
    <x:row r="61" ht="72" customHeight="1">
      <x:c r="A61" s="3" t="str">
        <x:v>2023-electricity-09</x:v>
      </x:c>
      <x:c r="B61" s="3" t="str">
        <x:v>evidence/2023-electricity-09.json</x:v>
      </x:c>
      <x:c r="C61" s="3" t="str">
        <x:v>d47fbb3316ec5fd95ab26b535c28f1bda94e3334899358cb9db418d3e58e9d61</x:v>
      </x:c>
      <x:c r="D61" s="10" t="n">
        <x:v>2023</x:v>
      </x:c>
      <x:c r="E61" s="10" t="n">
        <x:v>9</x:v>
      </x:c>
      <x:c r="F61" s="3" t="str">
        <x:v>electricity</x:v>
      </x:c>
      <x:c r="G61" s="3" t="str">
        <x:v>simulated-facilities-team</x:v>
      </x:c>
      <x:c r="H61" s="3" t="str">
        <x:v>True</x:v>
      </x:c>
      <x:c r="I61" s="3" t="str">
        <x:v>MIT</x:v>
      </x:c>
    </x:row>
    <x:row r="62" ht="72" customHeight="1">
      <x:c r="A62" s="3" t="str">
        <x:v>2023-electricity-10</x:v>
      </x:c>
      <x:c r="B62" s="3" t="str">
        <x:v>evidence/2023-electricity-10.json</x:v>
      </x:c>
      <x:c r="C62" s="3" t="str">
        <x:v>a0e6a63100dfa27dd217f550e45f6d54a29ee7911d6acedeb465901020c0cb6c</x:v>
      </x:c>
      <x:c r="D62" s="10" t="n">
        <x:v>2023</x:v>
      </x:c>
      <x:c r="E62" s="10" t="n">
        <x:v>10</x:v>
      </x:c>
      <x:c r="F62" s="3" t="str">
        <x:v>electricity</x:v>
      </x:c>
      <x:c r="G62" s="3" t="str">
        <x:v>simulated-facilities-team</x:v>
      </x:c>
      <x:c r="H62" s="3" t="str">
        <x:v>True</x:v>
      </x:c>
      <x:c r="I62" s="3" t="str">
        <x:v>MIT</x:v>
      </x:c>
    </x:row>
    <x:row r="63" ht="72" customHeight="1">
      <x:c r="A63" s="3" t="str">
        <x:v>2023-electricity-11</x:v>
      </x:c>
      <x:c r="B63" s="3" t="str">
        <x:v>evidence/2023-electricity-11.json</x:v>
      </x:c>
      <x:c r="C63" s="3" t="str">
        <x:v>209839b9a0fb3f2c55f3063d356d4479c16d1baa4ee4cd59bcdb5ab7867759e5</x:v>
      </x:c>
      <x:c r="D63" s="10" t="n">
        <x:v>2023</x:v>
      </x:c>
      <x:c r="E63" s="10" t="n">
        <x:v>11</x:v>
      </x:c>
      <x:c r="F63" s="3" t="str">
        <x:v>electricity</x:v>
      </x:c>
      <x:c r="G63" s="3" t="str">
        <x:v>simulated-facilities-team</x:v>
      </x:c>
      <x:c r="H63" s="3" t="str">
        <x:v>True</x:v>
      </x:c>
      <x:c r="I63" s="3" t="str">
        <x:v>MIT</x:v>
      </x:c>
    </x:row>
    <x:row r="64" ht="72" customHeight="1">
      <x:c r="A64" s="3" t="str">
        <x:v>2023-electricity-12</x:v>
      </x:c>
      <x:c r="B64" s="3" t="str">
        <x:v>evidence/2023-electricity-12.json</x:v>
      </x:c>
      <x:c r="C64" s="3" t="str">
        <x:v>e3e7529ccd819df786cb933340c177ba2bd8c94239df64f8f5845d484d58668b</x:v>
      </x:c>
      <x:c r="D64" s="10" t="n">
        <x:v>2023</x:v>
      </x:c>
      <x:c r="E64" s="10" t="n">
        <x:v>12</x:v>
      </x:c>
      <x:c r="F64" s="3" t="str">
        <x:v>electricity</x:v>
      </x:c>
      <x:c r="G64" s="3" t="str">
        <x:v>simulated-facilities-team</x:v>
      </x:c>
      <x:c r="H64" s="3" t="str">
        <x:v>True</x:v>
      </x:c>
      <x:c r="I64" s="3" t="str">
        <x:v>MIT</x:v>
      </x:c>
    </x:row>
    <x:row r="65" ht="72" customHeight="1">
      <x:c r="A65" s="3" t="str">
        <x:v>scenario</x:v>
      </x:c>
      <x:c r="B65" s="3" t="str">
        <x:v>evidence/scenario.json</x:v>
      </x:c>
      <x:c r="C65" s="3" t="str">
        <x:v>3b8aaa2ef4df457f189dd43d013e9cdbc821f9b8b12b461b2e0d3e3d89428890</x:v>
      </x:c>
      <x:c r="D65" s="10" t="n">
        <x:v>2023</x:v>
      </x:c>
      <x:c r="E65" s="10" t="str">
        <x:v>annual</x:v>
      </x:c>
      <x:c r="F65" s="3" t="str">
        <x:v>all</x:v>
      </x:c>
      <x:c r="G65" s="3" t="str">
        <x:v>simulated-coordinator</x:v>
      </x:c>
      <x:c r="H65" s="3" t="str">
        <x:v>True</x:v>
      </x:c>
      <x:c r="I65" s="3" t="str">
        <x:v>MIT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4" hidden="0" customWidth="1"/>
    <x:col min="2" max="2" width="30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30" hidden="0" customWidth="1"/>
    <x:col min="8" max="8" width="24" hidden="0" customWidth="1"/>
    <x:col min="9" max="9" width="24" hidden="0" customWidth="1"/>
  </x:cols>
  <x:sheetData>
    <x:row r="1" ht="40" customHeight="1">
      <x:c r="A1" s="5" t="str">
        <x:v>內部變更紀錄｜2023 年合成範例</x:v>
      </x:c>
      <x:c r="B1" s="5"/>
      <x:c r="C1" s="5"/>
      <x:c r="D1" s="5"/>
      <x:c r="E1" s="5"/>
      <x:c r="F1" s="5"/>
      <x:c r="G1" s="3"/>
      <x:c r="H1" s="3"/>
      <x:c r="I1" s="3"/>
    </x:row>
    <x:row r="2" ht="34" customHeight="1">
      <x:c r="A2" s="7" t="str">
        <x:v>非官方申報檔；合成案例不是查驗意見。完整欄位說明及來源見 Repo README、FIELD_MAP、SOURCES。</x:v>
      </x:c>
      <x:c r="B2" s="7"/>
      <x:c r="C2" s="7"/>
      <x:c r="D2" s="7"/>
      <x:c r="E2" s="7"/>
      <x:c r="F2" s="7"/>
      <x:c r="G2" s="3"/>
      <x:c r="H2" s="3"/>
      <x:c r="I2" s="3"/>
    </x:row>
    <x:row r="3" ht="72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64" customHeight="1">
      <x:c r="A4" s="9" t="str">
        <x:v>change_id</x:v>
      </x:c>
      <x:c r="B4" s="9" t="str">
        <x:v>排放源 ID</x:v>
      </x:c>
      <x:c r="C4" s="9" t="str">
        <x:v>effective_date</x:v>
      </x:c>
      <x:c r="D4" s="9" t="str">
        <x:v>change_type</x:v>
      </x:c>
      <x:c r="E4" s="9" t="str">
        <x:v>before</x:v>
      </x:c>
      <x:c r="F4" s="9" t="str">
        <x:v>after</x:v>
      </x:c>
      <x:c r="G4" s="9" t="str">
        <x:v>憑證 ID</x:v>
      </x:c>
      <x:c r="H4" s="9" t="str">
        <x:v>comparability</x:v>
      </x:c>
      <x:c r="I4" s="9" t="str">
        <x:v>review_status</x:v>
      </x:c>
    </x:row>
    <x:row r="5" ht="72" customHeight="1">
      <x:c r="A5" s="3"/>
      <x:c r="B5" s="3"/>
      <x:c r="C5" s="3"/>
      <x:c r="D5" s="3"/>
      <x:c r="E5" s="3"/>
      <x:c r="F5" s="3"/>
      <x:c r="G5" s="3"/>
      <x:c r="H5" s="3"/>
      <x:c r="I5" s="3"/>
    </x:row>
    <x:row r="6" ht="72" customHeight="1">
      <x:c r="A6" s="3"/>
      <x:c r="B6" s="3"/>
      <x:c r="C6" s="3"/>
      <x:c r="D6" s="3"/>
      <x:c r="E6" s="3"/>
      <x:c r="F6" s="3"/>
      <x:c r="G6" s="3"/>
      <x:c r="H6" s="3"/>
      <x:c r="I6" s="3"/>
    </x:row>
  </x:sheetData>
  <x:mergeCells>
    <x:mergeCell ref="A1:F1"/>
    <x:mergeCell ref="A2:F2"/>
  </x:mergeCells>
  <x:pageMargins left="0.7" right="0.7" top="0.75" bottom="0.75" header="0.3" footer="0.3"/>
</x:worksheet>
</file>